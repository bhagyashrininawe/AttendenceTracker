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excel\"/>
    </mc:Choice>
  </mc:AlternateContent>
  <xr:revisionPtr revIDLastSave="0" documentId="13_ncr:1_{D72D7FDF-A291-47EC-8972-3EDB1E4ED8AF}" xr6:coauthVersionLast="47" xr6:coauthVersionMax="47" xr10:uidLastSave="{00000000-0000-0000-0000-000000000000}"/>
  <bookViews>
    <workbookView xWindow="-108" yWindow="-108" windowWidth="23256" windowHeight="12456" xr2:uid="{E9C64B69-4321-4D6D-95DE-8100BCDC02B0}"/>
  </bookViews>
  <sheets>
    <sheet name="Rought" sheetId="1" r:id="rId1"/>
    <sheet name="Jan" sheetId="2" r:id="rId2"/>
    <sheet name="Feb" sheetId="3" r:id="rId3"/>
    <sheet name="Mar" sheetId="4" r:id="rId4"/>
    <sheet name="Apr" sheetId="5" r:id="rId5"/>
    <sheet name="May" sheetId="6" r:id="rId6"/>
    <sheet name="Jun" sheetId="7" r:id="rId7"/>
    <sheet name="Jul" sheetId="8" r:id="rId8"/>
    <sheet name="Aug" sheetId="9" r:id="rId9"/>
    <sheet name="Sep" sheetId="10" r:id="rId10"/>
    <sheet name="Oct" sheetId="11" r:id="rId11"/>
    <sheet name="Nov" sheetId="12" r:id="rId12"/>
    <sheet name="Dec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18" i="13" l="1"/>
  <c r="AS14" i="13"/>
  <c r="AS11" i="13"/>
  <c r="AS7" i="13"/>
  <c r="I6" i="13"/>
  <c r="J4" i="13"/>
  <c r="H4" i="13" s="1"/>
  <c r="G4" i="13"/>
  <c r="AS19" i="13" s="1"/>
  <c r="AS21" i="12"/>
  <c r="AS12" i="12"/>
  <c r="I6" i="12"/>
  <c r="I5" i="12" s="1"/>
  <c r="J4" i="12"/>
  <c r="H4" i="12"/>
  <c r="AY11" i="12" s="1"/>
  <c r="BB11" i="12" s="1"/>
  <c r="G4" i="12"/>
  <c r="AS19" i="12" s="1"/>
  <c r="AY11" i="11"/>
  <c r="BB11" i="11" s="1"/>
  <c r="I6" i="11"/>
  <c r="I5" i="11" s="1"/>
  <c r="J4" i="11"/>
  <c r="H4" i="11"/>
  <c r="AY17" i="11" s="1"/>
  <c r="BB17" i="11" s="1"/>
  <c r="G4" i="11"/>
  <c r="AS26" i="11" s="1"/>
  <c r="AY17" i="10"/>
  <c r="BB17" i="10" s="1"/>
  <c r="AY11" i="10"/>
  <c r="BB11" i="10" s="1"/>
  <c r="AY10" i="10"/>
  <c r="BB10" i="10" s="1"/>
  <c r="I6" i="10"/>
  <c r="I5" i="10" s="1"/>
  <c r="J4" i="10"/>
  <c r="H4" i="10"/>
  <c r="AY16" i="10" s="1"/>
  <c r="G4" i="10"/>
  <c r="AS26" i="10" s="1"/>
  <c r="I6" i="9"/>
  <c r="I5" i="9" s="1"/>
  <c r="J4" i="9"/>
  <c r="H4" i="9" s="1"/>
  <c r="G4" i="9"/>
  <c r="AS18" i="9" s="1"/>
  <c r="AS21" i="8"/>
  <c r="AS12" i="8"/>
  <c r="I6" i="8"/>
  <c r="I5" i="8" s="1"/>
  <c r="J4" i="8"/>
  <c r="H4" i="8" s="1"/>
  <c r="G4" i="8"/>
  <c r="AS26" i="8" s="1"/>
  <c r="I21" i="7"/>
  <c r="AS15" i="7"/>
  <c r="AS14" i="7"/>
  <c r="AS13" i="7"/>
  <c r="I6" i="7"/>
  <c r="I5" i="7" s="1"/>
  <c r="I26" i="7" s="1"/>
  <c r="J4" i="7"/>
  <c r="H4" i="7"/>
  <c r="AY11" i="7" s="1"/>
  <c r="BB11" i="7" s="1"/>
  <c r="G4" i="7"/>
  <c r="AS19" i="7" s="1"/>
  <c r="AY11" i="6"/>
  <c r="BB11" i="6" s="1"/>
  <c r="I6" i="6"/>
  <c r="I5" i="6" s="1"/>
  <c r="J4" i="6"/>
  <c r="H4" i="6"/>
  <c r="AY17" i="6" s="1"/>
  <c r="BB17" i="6" s="1"/>
  <c r="G4" i="6"/>
  <c r="AS26" i="6" s="1"/>
  <c r="AY17" i="5"/>
  <c r="BB17" i="5" s="1"/>
  <c r="AY11" i="5"/>
  <c r="BB11" i="5" s="1"/>
  <c r="AY10" i="5"/>
  <c r="BB10" i="5" s="1"/>
  <c r="I6" i="5"/>
  <c r="I5" i="5" s="1"/>
  <c r="J4" i="5"/>
  <c r="H4" i="5"/>
  <c r="AY16" i="5" s="1"/>
  <c r="G4" i="5"/>
  <c r="AS26" i="5" s="1"/>
  <c r="I6" i="4"/>
  <c r="I5" i="4" s="1"/>
  <c r="J4" i="4"/>
  <c r="H4" i="4" s="1"/>
  <c r="G4" i="4"/>
  <c r="AS23" i="4" s="1"/>
  <c r="AS26" i="3"/>
  <c r="AY17" i="3"/>
  <c r="BB17" i="3" s="1"/>
  <c r="AS17" i="3"/>
  <c r="AY16" i="3"/>
  <c r="AY11" i="3"/>
  <c r="BB11" i="3" s="1"/>
  <c r="AY10" i="3"/>
  <c r="BB10" i="3" s="1"/>
  <c r="AS10" i="3"/>
  <c r="AS9" i="3"/>
  <c r="I6" i="3"/>
  <c r="I5" i="3" s="1"/>
  <c r="J4" i="3"/>
  <c r="H4" i="3"/>
  <c r="AY15" i="3" s="1"/>
  <c r="BB15" i="3" s="1"/>
  <c r="G4" i="3"/>
  <c r="AS25" i="3" s="1"/>
  <c r="G4" i="2"/>
  <c r="AS7" i="2" s="1"/>
  <c r="I6" i="2"/>
  <c r="I5" i="2" s="1"/>
  <c r="J4" i="2"/>
  <c r="H4" i="2" s="1"/>
  <c r="AY22" i="13" l="1"/>
  <c r="BB22" i="13" s="1"/>
  <c r="AY18" i="13"/>
  <c r="AY17" i="13"/>
  <c r="BB17" i="13" s="1"/>
  <c r="AY13" i="13"/>
  <c r="AY8" i="13"/>
  <c r="BB8" i="13" s="1"/>
  <c r="J6" i="13"/>
  <c r="AY12" i="12"/>
  <c r="BB12" i="12" s="1"/>
  <c r="AY21" i="12"/>
  <c r="AS7" i="12"/>
  <c r="AS13" i="12"/>
  <c r="AS22" i="12"/>
  <c r="AY7" i="12"/>
  <c r="BB7" i="12" s="1"/>
  <c r="AY13" i="12"/>
  <c r="BB13" i="12" s="1"/>
  <c r="AY22" i="12"/>
  <c r="BB22" i="12" s="1"/>
  <c r="AS8" i="12"/>
  <c r="AS14" i="12"/>
  <c r="AY8" i="12"/>
  <c r="BB8" i="12" s="1"/>
  <c r="AS15" i="12"/>
  <c r="AS24" i="12"/>
  <c r="AY15" i="12"/>
  <c r="BB15" i="12" s="1"/>
  <c r="AS25" i="12"/>
  <c r="AS9" i="12"/>
  <c r="AY16" i="12"/>
  <c r="BB16" i="12" s="1"/>
  <c r="AS10" i="12"/>
  <c r="AS17" i="12"/>
  <c r="AS26" i="12"/>
  <c r="AY10" i="12"/>
  <c r="BB10" i="12" s="1"/>
  <c r="AY17" i="12"/>
  <c r="BB17" i="12" s="1"/>
  <c r="AS19" i="11"/>
  <c r="AS12" i="11"/>
  <c r="AS21" i="11"/>
  <c r="AY12" i="11"/>
  <c r="BB12" i="11" s="1"/>
  <c r="AY21" i="11"/>
  <c r="AS7" i="11"/>
  <c r="AS13" i="11"/>
  <c r="AS22" i="11"/>
  <c r="AY7" i="11"/>
  <c r="BB7" i="11" s="1"/>
  <c r="AY13" i="11"/>
  <c r="AY22" i="11"/>
  <c r="BB22" i="11" s="1"/>
  <c r="AS8" i="11"/>
  <c r="AS14" i="11"/>
  <c r="AY8" i="11"/>
  <c r="BB8" i="11" s="1"/>
  <c r="AS15" i="11"/>
  <c r="AS24" i="11"/>
  <c r="AY15" i="11"/>
  <c r="BB15" i="11" s="1"/>
  <c r="AS25" i="11"/>
  <c r="AS9" i="11"/>
  <c r="AY16" i="11"/>
  <c r="BB16" i="11" s="1"/>
  <c r="AS10" i="11"/>
  <c r="AS17" i="11"/>
  <c r="AY10" i="11"/>
  <c r="BB10" i="11" s="1"/>
  <c r="AS19" i="10"/>
  <c r="AS12" i="10"/>
  <c r="AS21" i="10"/>
  <c r="AY12" i="10"/>
  <c r="BB12" i="10" s="1"/>
  <c r="AY21" i="10"/>
  <c r="AS7" i="10"/>
  <c r="AS13" i="10"/>
  <c r="AS22" i="10"/>
  <c r="AY7" i="10"/>
  <c r="BB7" i="10" s="1"/>
  <c r="AY13" i="10"/>
  <c r="BB13" i="10" s="1"/>
  <c r="AY22" i="10"/>
  <c r="BB22" i="10" s="1"/>
  <c r="AS8" i="10"/>
  <c r="AS14" i="10"/>
  <c r="AY8" i="10"/>
  <c r="BB8" i="10" s="1"/>
  <c r="AS15" i="10"/>
  <c r="AS24" i="10"/>
  <c r="AY15" i="10"/>
  <c r="BB15" i="10" s="1"/>
  <c r="AS25" i="10"/>
  <c r="AS9" i="10"/>
  <c r="AS10" i="10"/>
  <c r="AS17" i="10"/>
  <c r="AY12" i="9"/>
  <c r="BB12" i="9" s="1"/>
  <c r="AY18" i="9"/>
  <c r="AY10" i="9"/>
  <c r="BB10" i="9" s="1"/>
  <c r="AY16" i="9"/>
  <c r="BB16" i="9" s="1"/>
  <c r="AY15" i="9"/>
  <c r="BB15" i="9" s="1"/>
  <c r="AY7" i="9"/>
  <c r="BB7" i="9" s="1"/>
  <c r="AY21" i="9"/>
  <c r="BB21" i="9" s="1"/>
  <c r="AY13" i="9"/>
  <c r="BB13" i="9" s="1"/>
  <c r="AS9" i="9"/>
  <c r="AS14" i="9"/>
  <c r="AY17" i="8"/>
  <c r="BB17" i="8" s="1"/>
  <c r="AY10" i="8"/>
  <c r="BB10" i="8" s="1"/>
  <c r="AY16" i="8"/>
  <c r="BB16" i="8" s="1"/>
  <c r="AY15" i="8"/>
  <c r="BB15" i="8" s="1"/>
  <c r="AY8" i="8"/>
  <c r="BB8" i="8" s="1"/>
  <c r="AY22" i="8"/>
  <c r="BB22" i="8" s="1"/>
  <c r="AY13" i="8"/>
  <c r="AY7" i="8"/>
  <c r="BB7" i="8" s="1"/>
  <c r="AY21" i="8"/>
  <c r="BB21" i="8" s="1"/>
  <c r="AY12" i="8"/>
  <c r="BB12" i="8" s="1"/>
  <c r="AY11" i="8"/>
  <c r="BB11" i="8" s="1"/>
  <c r="AS19" i="8"/>
  <c r="AS7" i="8"/>
  <c r="AS13" i="8"/>
  <c r="AS22" i="8"/>
  <c r="AS8" i="8"/>
  <c r="AS14" i="8"/>
  <c r="AS15" i="8"/>
  <c r="AS24" i="8"/>
  <c r="AS25" i="8"/>
  <c r="AS9" i="8"/>
  <c r="AS10" i="8"/>
  <c r="AS17" i="8"/>
  <c r="AS17" i="7"/>
  <c r="AS21" i="7"/>
  <c r="AS22" i="7"/>
  <c r="AS7" i="7"/>
  <c r="AS24" i="7"/>
  <c r="AS8" i="7"/>
  <c r="AS25" i="7"/>
  <c r="AS9" i="7"/>
  <c r="AS26" i="7"/>
  <c r="AS10" i="7"/>
  <c r="AS12" i="7"/>
  <c r="AY12" i="7"/>
  <c r="BB12" i="7" s="1"/>
  <c r="AY21" i="7"/>
  <c r="AY7" i="7"/>
  <c r="BB7" i="7" s="1"/>
  <c r="AY13" i="7"/>
  <c r="AY22" i="7"/>
  <c r="BB22" i="7" s="1"/>
  <c r="I23" i="7"/>
  <c r="AY8" i="7"/>
  <c r="BB8" i="7" s="1"/>
  <c r="I9" i="7"/>
  <c r="AY15" i="7"/>
  <c r="BB15" i="7" s="1"/>
  <c r="AY16" i="7"/>
  <c r="AY10" i="7"/>
  <c r="BB10" i="7" s="1"/>
  <c r="AY17" i="7"/>
  <c r="BB17" i="7" s="1"/>
  <c r="AS19" i="6"/>
  <c r="AS12" i="6"/>
  <c r="AS21" i="6"/>
  <c r="AY12" i="6"/>
  <c r="BB12" i="6" s="1"/>
  <c r="AY21" i="6"/>
  <c r="BB21" i="6" s="1"/>
  <c r="AS7" i="6"/>
  <c r="AS13" i="6"/>
  <c r="AS22" i="6"/>
  <c r="AY7" i="6"/>
  <c r="BB7" i="6" s="1"/>
  <c r="AY13" i="6"/>
  <c r="BB13" i="6" s="1"/>
  <c r="AY22" i="6"/>
  <c r="BB22" i="6" s="1"/>
  <c r="AS8" i="6"/>
  <c r="AS14" i="6"/>
  <c r="AY8" i="6"/>
  <c r="BB8" i="6" s="1"/>
  <c r="AS15" i="6"/>
  <c r="AS24" i="6"/>
  <c r="AY15" i="6"/>
  <c r="BB15" i="6" s="1"/>
  <c r="AS25" i="6"/>
  <c r="AS9" i="6"/>
  <c r="AY16" i="6"/>
  <c r="BB16" i="6" s="1"/>
  <c r="AS10" i="6"/>
  <c r="AS17" i="6"/>
  <c r="AY10" i="6"/>
  <c r="BB10" i="6" s="1"/>
  <c r="AS19" i="5"/>
  <c r="AS12" i="5"/>
  <c r="AS21" i="5"/>
  <c r="AY12" i="5"/>
  <c r="BB12" i="5" s="1"/>
  <c r="AY21" i="5"/>
  <c r="AS7" i="5"/>
  <c r="AS13" i="5"/>
  <c r="AS22" i="5"/>
  <c r="AY7" i="5"/>
  <c r="BB7" i="5" s="1"/>
  <c r="AY13" i="5"/>
  <c r="BB13" i="5" s="1"/>
  <c r="AY22" i="5"/>
  <c r="BB22" i="5" s="1"/>
  <c r="AS8" i="5"/>
  <c r="AS14" i="5"/>
  <c r="AY8" i="5"/>
  <c r="BB8" i="5" s="1"/>
  <c r="AS15" i="5"/>
  <c r="AS24" i="5"/>
  <c r="AY15" i="5"/>
  <c r="BB15" i="5" s="1"/>
  <c r="AS25" i="5"/>
  <c r="AS9" i="5"/>
  <c r="AS10" i="5"/>
  <c r="AS17" i="5"/>
  <c r="AY22" i="4"/>
  <c r="BB22" i="4" s="1"/>
  <c r="AY9" i="4"/>
  <c r="BB9" i="4" s="1"/>
  <c r="AY17" i="4"/>
  <c r="BB17" i="4" s="1"/>
  <c r="AY16" i="4"/>
  <c r="BB16" i="4" s="1"/>
  <c r="AY7" i="4"/>
  <c r="BB7" i="4" s="1"/>
  <c r="AS14" i="4"/>
  <c r="AS7" i="4"/>
  <c r="AS12" i="4"/>
  <c r="AS24" i="4"/>
  <c r="AS13" i="4"/>
  <c r="AS18" i="4"/>
  <c r="AS19" i="4"/>
  <c r="AS10" i="4"/>
  <c r="AS19" i="3"/>
  <c r="AS12" i="3"/>
  <c r="AS21" i="3"/>
  <c r="AY12" i="3"/>
  <c r="BB12" i="3" s="1"/>
  <c r="AY21" i="3"/>
  <c r="AS7" i="3"/>
  <c r="AS13" i="3"/>
  <c r="AS22" i="3"/>
  <c r="AY7" i="3"/>
  <c r="BB7" i="3" s="1"/>
  <c r="AY13" i="3"/>
  <c r="BB13" i="3" s="1"/>
  <c r="AY22" i="3"/>
  <c r="BB22" i="3" s="1"/>
  <c r="AS8" i="3"/>
  <c r="AS14" i="3"/>
  <c r="AY8" i="3"/>
  <c r="BB8" i="3" s="1"/>
  <c r="AS15" i="3"/>
  <c r="AS24" i="3"/>
  <c r="BB13" i="13"/>
  <c r="J5" i="13"/>
  <c r="K6" i="13"/>
  <c r="BB18" i="13"/>
  <c r="AS21" i="13"/>
  <c r="AS20" i="13"/>
  <c r="AS9" i="13"/>
  <c r="AS22" i="13"/>
  <c r="AS17" i="13"/>
  <c r="AS10" i="13"/>
  <c r="AS12" i="13"/>
  <c r="AS15" i="13"/>
  <c r="AS16" i="13"/>
  <c r="AS26" i="13"/>
  <c r="AS25" i="13"/>
  <c r="AY24" i="13"/>
  <c r="AY23" i="13"/>
  <c r="AY12" i="13"/>
  <c r="AY11" i="13"/>
  <c r="AY7" i="13"/>
  <c r="AY26" i="13"/>
  <c r="AY25" i="13"/>
  <c r="AY14" i="13"/>
  <c r="AY21" i="13"/>
  <c r="AY19" i="13"/>
  <c r="AY15" i="13"/>
  <c r="AY20" i="13"/>
  <c r="AY9" i="13"/>
  <c r="AS23" i="13"/>
  <c r="AS8" i="13"/>
  <c r="AS24" i="13"/>
  <c r="I5" i="13"/>
  <c r="AY10" i="13"/>
  <c r="AS13" i="13"/>
  <c r="AY16" i="13"/>
  <c r="BB21" i="12"/>
  <c r="J6" i="12"/>
  <c r="AS16" i="12"/>
  <c r="AS11" i="12"/>
  <c r="AS20" i="12"/>
  <c r="AS18" i="12"/>
  <c r="AY24" i="12"/>
  <c r="AY19" i="12"/>
  <c r="AY14" i="12"/>
  <c r="AY9" i="12"/>
  <c r="AY26" i="12"/>
  <c r="AY25" i="12"/>
  <c r="AY23" i="12"/>
  <c r="AY18" i="12"/>
  <c r="AY20" i="12"/>
  <c r="AS23" i="12"/>
  <c r="BB21" i="11"/>
  <c r="J6" i="11"/>
  <c r="BB13" i="11"/>
  <c r="AS16" i="11"/>
  <c r="AS11" i="11"/>
  <c r="AS20" i="11"/>
  <c r="AS18" i="11"/>
  <c r="AY24" i="11"/>
  <c r="AY19" i="11"/>
  <c r="AY14" i="11"/>
  <c r="AY9" i="11"/>
  <c r="AY26" i="11"/>
  <c r="AY25" i="11"/>
  <c r="AY23" i="11"/>
  <c r="AY18" i="11"/>
  <c r="AY20" i="11"/>
  <c r="AS23" i="11"/>
  <c r="BB21" i="10"/>
  <c r="J6" i="10"/>
  <c r="BB16" i="10"/>
  <c r="AS16" i="10"/>
  <c r="AS11" i="10"/>
  <c r="AS20" i="10"/>
  <c r="AS18" i="10"/>
  <c r="AY24" i="10"/>
  <c r="AY19" i="10"/>
  <c r="AY14" i="10"/>
  <c r="AY9" i="10"/>
  <c r="AY26" i="10"/>
  <c r="AY25" i="10"/>
  <c r="AY23" i="10"/>
  <c r="AY18" i="10"/>
  <c r="AY20" i="10"/>
  <c r="AS23" i="10"/>
  <c r="AS22" i="9"/>
  <c r="AS24" i="9"/>
  <c r="AS12" i="9"/>
  <c r="AS16" i="9"/>
  <c r="AS11" i="9"/>
  <c r="AS23" i="9"/>
  <c r="AS13" i="9"/>
  <c r="AS10" i="9"/>
  <c r="AS7" i="9"/>
  <c r="AS20" i="9"/>
  <c r="AS19" i="9"/>
  <c r="AS26" i="9"/>
  <c r="AS25" i="9"/>
  <c r="AS15" i="9"/>
  <c r="AS17" i="9"/>
  <c r="AS8" i="9"/>
  <c r="AS21" i="9"/>
  <c r="BB18" i="9"/>
  <c r="AY24" i="9"/>
  <c r="AY19" i="9"/>
  <c r="AY14" i="9"/>
  <c r="AY25" i="9"/>
  <c r="AY23" i="9"/>
  <c r="AY9" i="9"/>
  <c r="AY26" i="9"/>
  <c r="AY22" i="9"/>
  <c r="AY11" i="9"/>
  <c r="J6" i="9"/>
  <c r="AY8" i="9"/>
  <c r="AY17" i="9"/>
  <c r="AY20" i="9"/>
  <c r="J6" i="8"/>
  <c r="BB13" i="8"/>
  <c r="AS16" i="8"/>
  <c r="AS11" i="8"/>
  <c r="AS20" i="8"/>
  <c r="AS18" i="8"/>
  <c r="AY24" i="8"/>
  <c r="AY19" i="8"/>
  <c r="AY14" i="8"/>
  <c r="AY9" i="8"/>
  <c r="AY26" i="8"/>
  <c r="AY25" i="8"/>
  <c r="AY23" i="8"/>
  <c r="AY18" i="8"/>
  <c r="AY20" i="8"/>
  <c r="AS23" i="8"/>
  <c r="BB21" i="7"/>
  <c r="I13" i="7"/>
  <c r="I8" i="7"/>
  <c r="I22" i="7"/>
  <c r="I17" i="7"/>
  <c r="I20" i="7"/>
  <c r="I25" i="7"/>
  <c r="I14" i="7"/>
  <c r="I11" i="7"/>
  <c r="I24" i="7"/>
  <c r="I12" i="7"/>
  <c r="I19" i="7"/>
  <c r="J6" i="7"/>
  <c r="I7" i="7"/>
  <c r="I10" i="7"/>
  <c r="I15" i="7"/>
  <c r="BB13" i="7"/>
  <c r="I16" i="7"/>
  <c r="BB16" i="7"/>
  <c r="I18" i="7"/>
  <c r="AS16" i="7"/>
  <c r="AS11" i="7"/>
  <c r="AS20" i="7"/>
  <c r="AS18" i="7"/>
  <c r="AY24" i="7"/>
  <c r="AY19" i="7"/>
  <c r="AY14" i="7"/>
  <c r="AY9" i="7"/>
  <c r="AY26" i="7"/>
  <c r="AY25" i="7"/>
  <c r="AY23" i="7"/>
  <c r="AY18" i="7"/>
  <c r="AY20" i="7"/>
  <c r="AS23" i="7"/>
  <c r="J6" i="6"/>
  <c r="AS16" i="6"/>
  <c r="AS11" i="6"/>
  <c r="AS20" i="6"/>
  <c r="AS18" i="6"/>
  <c r="AY24" i="6"/>
  <c r="AY19" i="6"/>
  <c r="AY14" i="6"/>
  <c r="AY9" i="6"/>
  <c r="AY26" i="6"/>
  <c r="AY25" i="6"/>
  <c r="AY23" i="6"/>
  <c r="AY18" i="6"/>
  <c r="AY20" i="6"/>
  <c r="AS23" i="6"/>
  <c r="BB21" i="5"/>
  <c r="J6" i="5"/>
  <c r="BB16" i="5"/>
  <c r="AS16" i="5"/>
  <c r="AS11" i="5"/>
  <c r="AS20" i="5"/>
  <c r="AS18" i="5"/>
  <c r="AY24" i="5"/>
  <c r="AY19" i="5"/>
  <c r="AY14" i="5"/>
  <c r="AY9" i="5"/>
  <c r="AY26" i="5"/>
  <c r="AY25" i="5"/>
  <c r="AY23" i="5"/>
  <c r="AY18" i="5"/>
  <c r="AY20" i="5"/>
  <c r="AS23" i="5"/>
  <c r="AS21" i="4"/>
  <c r="AS20" i="4"/>
  <c r="AS9" i="4"/>
  <c r="AS8" i="4"/>
  <c r="AS22" i="4"/>
  <c r="AS17" i="4"/>
  <c r="AS11" i="4"/>
  <c r="AS16" i="4"/>
  <c r="AS26" i="4"/>
  <c r="AS15" i="4"/>
  <c r="AS25" i="4"/>
  <c r="AY24" i="4"/>
  <c r="AY23" i="4"/>
  <c r="AY12" i="4"/>
  <c r="AY11" i="4"/>
  <c r="AY26" i="4"/>
  <c r="AY25" i="4"/>
  <c r="AY14" i="4"/>
  <c r="AY13" i="4"/>
  <c r="AY18" i="4"/>
  <c r="J6" i="4"/>
  <c r="AY19" i="4"/>
  <c r="AY10" i="4"/>
  <c r="AY8" i="4"/>
  <c r="AY20" i="4"/>
  <c r="AY15" i="4"/>
  <c r="AY21" i="4"/>
  <c r="BB21" i="3"/>
  <c r="J6" i="3"/>
  <c r="BB16" i="3"/>
  <c r="AS16" i="3"/>
  <c r="AS11" i="3"/>
  <c r="AS20" i="3"/>
  <c r="AS18" i="3"/>
  <c r="AY24" i="3"/>
  <c r="AY19" i="3"/>
  <c r="AY14" i="3"/>
  <c r="AY9" i="3"/>
  <c r="AY26" i="3"/>
  <c r="AY25" i="3"/>
  <c r="AY23" i="3"/>
  <c r="AY18" i="3"/>
  <c r="AY20" i="3"/>
  <c r="AS23" i="3"/>
  <c r="AS18" i="2"/>
  <c r="AS17" i="2"/>
  <c r="AS16" i="2"/>
  <c r="AS15" i="2"/>
  <c r="AS26" i="2"/>
  <c r="AS14" i="2"/>
  <c r="AS25" i="2"/>
  <c r="AS13" i="2"/>
  <c r="AS24" i="2"/>
  <c r="AS12" i="2"/>
  <c r="AS23" i="2"/>
  <c r="AS11" i="2"/>
  <c r="AS22" i="2"/>
  <c r="AS10" i="2"/>
  <c r="AS21" i="2"/>
  <c r="AS9" i="2"/>
  <c r="AS20" i="2"/>
  <c r="AS8" i="2"/>
  <c r="AS19" i="2"/>
  <c r="AY15" i="2"/>
  <c r="BB15" i="2" s="1"/>
  <c r="AY16" i="2"/>
  <c r="BB16" i="2" s="1"/>
  <c r="AY17" i="2"/>
  <c r="BB17" i="2" s="1"/>
  <c r="AY18" i="2"/>
  <c r="BB18" i="2" s="1"/>
  <c r="AY7" i="2"/>
  <c r="BB7" i="2" s="1"/>
  <c r="AY19" i="2"/>
  <c r="BB19" i="2" s="1"/>
  <c r="AY8" i="2"/>
  <c r="BB8" i="2" s="1"/>
  <c r="AY20" i="2"/>
  <c r="BB20" i="2" s="1"/>
  <c r="AY9" i="2"/>
  <c r="BB9" i="2" s="1"/>
  <c r="AY21" i="2"/>
  <c r="BB21" i="2" s="1"/>
  <c r="AY10" i="2"/>
  <c r="BB10" i="2" s="1"/>
  <c r="AY22" i="2"/>
  <c r="BB22" i="2" s="1"/>
  <c r="AY11" i="2"/>
  <c r="BB11" i="2" s="1"/>
  <c r="AY23" i="2"/>
  <c r="BB23" i="2" s="1"/>
  <c r="AY12" i="2"/>
  <c r="BB12" i="2" s="1"/>
  <c r="AY24" i="2"/>
  <c r="BB24" i="2" s="1"/>
  <c r="AY13" i="2"/>
  <c r="BB13" i="2" s="1"/>
  <c r="AY25" i="2"/>
  <c r="BB25" i="2" s="1"/>
  <c r="AY14" i="2"/>
  <c r="BB14" i="2" s="1"/>
  <c r="AY26" i="2"/>
  <c r="BB26" i="2" s="1"/>
  <c r="J6" i="2"/>
  <c r="BB24" i="13" l="1"/>
  <c r="BB7" i="13"/>
  <c r="BB9" i="13"/>
  <c r="BB20" i="13"/>
  <c r="BB11" i="13"/>
  <c r="BB23" i="13"/>
  <c r="BB15" i="13"/>
  <c r="BB19" i="13"/>
  <c r="K5" i="13"/>
  <c r="L6" i="13"/>
  <c r="BB16" i="13"/>
  <c r="BB21" i="13"/>
  <c r="BB14" i="13"/>
  <c r="BB10" i="13"/>
  <c r="BB25" i="13"/>
  <c r="BB26" i="13"/>
  <c r="BB12" i="13"/>
  <c r="BB14" i="12"/>
  <c r="BB19" i="12"/>
  <c r="BB24" i="12"/>
  <c r="BB20" i="12"/>
  <c r="BB18" i="12"/>
  <c r="BB23" i="12"/>
  <c r="BB25" i="12"/>
  <c r="J5" i="12"/>
  <c r="K6" i="12"/>
  <c r="BB26" i="12"/>
  <c r="BB9" i="12"/>
  <c r="BB14" i="11"/>
  <c r="BB19" i="11"/>
  <c r="BB24" i="11"/>
  <c r="BB20" i="11"/>
  <c r="BB18" i="11"/>
  <c r="BB23" i="11"/>
  <c r="BB25" i="11"/>
  <c r="J5" i="11"/>
  <c r="K6" i="11"/>
  <c r="BB26" i="11"/>
  <c r="BB9" i="11"/>
  <c r="BB14" i="10"/>
  <c r="BB19" i="10"/>
  <c r="BB24" i="10"/>
  <c r="BB20" i="10"/>
  <c r="BB18" i="10"/>
  <c r="BB23" i="10"/>
  <c r="BB25" i="10"/>
  <c r="J5" i="10"/>
  <c r="K6" i="10"/>
  <c r="BB26" i="10"/>
  <c r="BB9" i="10"/>
  <c r="BB11" i="9"/>
  <c r="BB22" i="9"/>
  <c r="BB17" i="9"/>
  <c r="BB8" i="9"/>
  <c r="BB25" i="9"/>
  <c r="BB14" i="9"/>
  <c r="J5" i="9"/>
  <c r="K6" i="9"/>
  <c r="BB19" i="9"/>
  <c r="BB20" i="9"/>
  <c r="BB26" i="9"/>
  <c r="BB9" i="9"/>
  <c r="BB23" i="9"/>
  <c r="BB24" i="9"/>
  <c r="BB14" i="8"/>
  <c r="BB19" i="8"/>
  <c r="BB24" i="8"/>
  <c r="BB20" i="8"/>
  <c r="BB18" i="8"/>
  <c r="BB23" i="8"/>
  <c r="BB25" i="8"/>
  <c r="J5" i="8"/>
  <c r="K6" i="8"/>
  <c r="BB26" i="8"/>
  <c r="BB9" i="8"/>
  <c r="BB14" i="7"/>
  <c r="BB19" i="7"/>
  <c r="BB24" i="7"/>
  <c r="BB20" i="7"/>
  <c r="BB18" i="7"/>
  <c r="BB23" i="7"/>
  <c r="BB25" i="7"/>
  <c r="J5" i="7"/>
  <c r="K6" i="7"/>
  <c r="BB26" i="7"/>
  <c r="BB9" i="7"/>
  <c r="BB14" i="6"/>
  <c r="BB19" i="6"/>
  <c r="BB24" i="6"/>
  <c r="BB20" i="6"/>
  <c r="BB18" i="6"/>
  <c r="BB23" i="6"/>
  <c r="BB25" i="6"/>
  <c r="J5" i="6"/>
  <c r="K6" i="6"/>
  <c r="BB26" i="6"/>
  <c r="BB9" i="6"/>
  <c r="BB14" i="5"/>
  <c r="BB19" i="5"/>
  <c r="BB24" i="5"/>
  <c r="BB20" i="5"/>
  <c r="BB18" i="5"/>
  <c r="BB23" i="5"/>
  <c r="BB25" i="5"/>
  <c r="J5" i="5"/>
  <c r="K6" i="5"/>
  <c r="BB26" i="5"/>
  <c r="BB9" i="5"/>
  <c r="J5" i="4"/>
  <c r="K6" i="4"/>
  <c r="BB18" i="4"/>
  <c r="BB25" i="4"/>
  <c r="BB13" i="4"/>
  <c r="BB14" i="4"/>
  <c r="BB26" i="4"/>
  <c r="BB21" i="4"/>
  <c r="BB11" i="4"/>
  <c r="BB15" i="4"/>
  <c r="BB12" i="4"/>
  <c r="BB20" i="4"/>
  <c r="BB23" i="4"/>
  <c r="BB8" i="4"/>
  <c r="BB24" i="4"/>
  <c r="BB10" i="4"/>
  <c r="BB19" i="4"/>
  <c r="BB14" i="3"/>
  <c r="BB19" i="3"/>
  <c r="BB24" i="3"/>
  <c r="BB20" i="3"/>
  <c r="BB18" i="3"/>
  <c r="BB23" i="3"/>
  <c r="BB25" i="3"/>
  <c r="J5" i="3"/>
  <c r="K6" i="3"/>
  <c r="BB26" i="3"/>
  <c r="BB9" i="3"/>
  <c r="K6" i="2"/>
  <c r="J5" i="2"/>
  <c r="M6" i="13" l="1"/>
  <c r="L5" i="13"/>
  <c r="J22" i="12"/>
  <c r="J17" i="12"/>
  <c r="J12" i="12"/>
  <c r="J25" i="12"/>
  <c r="J14" i="12"/>
  <c r="J11" i="12"/>
  <c r="J8" i="12"/>
  <c r="J24" i="12"/>
  <c r="J19" i="12"/>
  <c r="J15" i="12"/>
  <c r="J21" i="12"/>
  <c r="J16" i="12"/>
  <c r="J13" i="12"/>
  <c r="J10" i="12"/>
  <c r="J7" i="12"/>
  <c r="J9" i="12"/>
  <c r="J26" i="12"/>
  <c r="J23" i="12"/>
  <c r="J20" i="12"/>
  <c r="J18" i="12"/>
  <c r="L6" i="12"/>
  <c r="K5" i="12"/>
  <c r="L6" i="11"/>
  <c r="K5" i="11"/>
  <c r="L6" i="10"/>
  <c r="K5" i="10"/>
  <c r="L6" i="9"/>
  <c r="K5" i="9"/>
  <c r="L6" i="8"/>
  <c r="K5" i="8"/>
  <c r="L6" i="7"/>
  <c r="K5" i="7"/>
  <c r="L6" i="6"/>
  <c r="K5" i="6"/>
  <c r="L6" i="5"/>
  <c r="K5" i="5"/>
  <c r="L6" i="4"/>
  <c r="K5" i="4"/>
  <c r="J20" i="4"/>
  <c r="J19" i="4"/>
  <c r="J8" i="4"/>
  <c r="J7" i="4"/>
  <c r="J15" i="4"/>
  <c r="J25" i="4"/>
  <c r="J14" i="4"/>
  <c r="J24" i="4"/>
  <c r="J10" i="4"/>
  <c r="J13" i="4"/>
  <c r="J23" i="4"/>
  <c r="J18" i="4"/>
  <c r="J12" i="4"/>
  <c r="J22" i="4"/>
  <c r="J11" i="4"/>
  <c r="J26" i="4"/>
  <c r="J21" i="4"/>
  <c r="J9" i="4"/>
  <c r="J16" i="4"/>
  <c r="J17" i="4"/>
  <c r="J22" i="3"/>
  <c r="J17" i="3"/>
  <c r="J12" i="3"/>
  <c r="J25" i="3"/>
  <c r="J14" i="3"/>
  <c r="J11" i="3"/>
  <c r="J8" i="3"/>
  <c r="J24" i="3"/>
  <c r="J19" i="3"/>
  <c r="J15" i="3"/>
  <c r="J21" i="3"/>
  <c r="J16" i="3"/>
  <c r="J13" i="3"/>
  <c r="J10" i="3"/>
  <c r="J7" i="3"/>
  <c r="J9" i="3"/>
  <c r="J26" i="3"/>
  <c r="J23" i="3"/>
  <c r="J20" i="3"/>
  <c r="J18" i="3"/>
  <c r="L6" i="3"/>
  <c r="K5" i="3"/>
  <c r="L6" i="2"/>
  <c r="K5" i="2"/>
  <c r="N6" i="13" l="1"/>
  <c r="M5" i="13"/>
  <c r="M6" i="12"/>
  <c r="L5" i="12"/>
  <c r="M6" i="11"/>
  <c r="L5" i="11"/>
  <c r="M6" i="10"/>
  <c r="L5" i="10"/>
  <c r="K26" i="9"/>
  <c r="K17" i="9"/>
  <c r="K12" i="9"/>
  <c r="K7" i="9"/>
  <c r="K25" i="9"/>
  <c r="K19" i="9"/>
  <c r="K10" i="9"/>
  <c r="K22" i="9"/>
  <c r="K24" i="9"/>
  <c r="K20" i="9"/>
  <c r="K13" i="9"/>
  <c r="K14" i="9"/>
  <c r="K11" i="9"/>
  <c r="K8" i="9"/>
  <c r="K23" i="9"/>
  <c r="K15" i="9"/>
  <c r="K21" i="9"/>
  <c r="K9" i="9"/>
  <c r="K16" i="9"/>
  <c r="K18" i="9"/>
  <c r="L5" i="9"/>
  <c r="M6" i="9"/>
  <c r="M6" i="8"/>
  <c r="L5" i="8"/>
  <c r="M6" i="7"/>
  <c r="L5" i="7"/>
  <c r="M6" i="6"/>
  <c r="L5" i="6"/>
  <c r="M6" i="5"/>
  <c r="L5" i="5"/>
  <c r="M6" i="4"/>
  <c r="L5" i="4"/>
  <c r="M6" i="3"/>
  <c r="L5" i="3"/>
  <c r="M6" i="2"/>
  <c r="L5" i="2"/>
  <c r="O6" i="13" l="1"/>
  <c r="N5" i="13"/>
  <c r="N6" i="12"/>
  <c r="M5" i="12"/>
  <c r="N6" i="11"/>
  <c r="M5" i="11"/>
  <c r="N6" i="10"/>
  <c r="M5" i="10"/>
  <c r="N6" i="9"/>
  <c r="M5" i="9"/>
  <c r="N6" i="8"/>
  <c r="M5" i="8"/>
  <c r="N6" i="7"/>
  <c r="M5" i="7"/>
  <c r="L26" i="6"/>
  <c r="L7" i="6"/>
  <c r="L21" i="6"/>
  <c r="L16" i="6"/>
  <c r="L8" i="6"/>
  <c r="L22" i="6"/>
  <c r="L24" i="6"/>
  <c r="L17" i="6"/>
  <c r="L19" i="6"/>
  <c r="L15" i="6"/>
  <c r="L12" i="6"/>
  <c r="L9" i="6"/>
  <c r="L14" i="6"/>
  <c r="L11" i="6"/>
  <c r="L13" i="6"/>
  <c r="L10" i="6"/>
  <c r="L23" i="6"/>
  <c r="L25" i="6"/>
  <c r="L20" i="6"/>
  <c r="L18" i="6"/>
  <c r="N6" i="6"/>
  <c r="M5" i="6"/>
  <c r="N6" i="5"/>
  <c r="M5" i="5"/>
  <c r="N6" i="4"/>
  <c r="M5" i="4"/>
  <c r="N6" i="3"/>
  <c r="M5" i="3"/>
  <c r="N6" i="2"/>
  <c r="M5" i="2"/>
  <c r="O5" i="13" l="1"/>
  <c r="P6" i="13"/>
  <c r="O6" i="12"/>
  <c r="N5" i="12"/>
  <c r="M26" i="11"/>
  <c r="M24" i="11"/>
  <c r="M22" i="11"/>
  <c r="M20" i="11"/>
  <c r="M18" i="11"/>
  <c r="M16" i="11"/>
  <c r="M14" i="11"/>
  <c r="M12" i="11"/>
  <c r="M10" i="11"/>
  <c r="M8" i="11"/>
  <c r="M21" i="11"/>
  <c r="M11" i="11"/>
  <c r="M17" i="11"/>
  <c r="M19" i="11"/>
  <c r="M15" i="11"/>
  <c r="M9" i="11"/>
  <c r="M13" i="11"/>
  <c r="M7" i="11"/>
  <c r="M23" i="11"/>
  <c r="M25" i="11"/>
  <c r="O6" i="11"/>
  <c r="N5" i="11"/>
  <c r="O6" i="10"/>
  <c r="N5" i="10"/>
  <c r="N5" i="9"/>
  <c r="O6" i="9"/>
  <c r="O6" i="8"/>
  <c r="N5" i="8"/>
  <c r="O6" i="7"/>
  <c r="N5" i="7"/>
  <c r="O6" i="6"/>
  <c r="N5" i="6"/>
  <c r="O6" i="5"/>
  <c r="N5" i="5"/>
  <c r="O6" i="4"/>
  <c r="N5" i="4"/>
  <c r="O6" i="3"/>
  <c r="N5" i="3"/>
  <c r="M16" i="2"/>
  <c r="M11" i="2"/>
  <c r="M20" i="2"/>
  <c r="M23" i="2"/>
  <c r="M8" i="2"/>
  <c r="M14" i="2"/>
  <c r="M26" i="2"/>
  <c r="M15" i="2"/>
  <c r="M13" i="2"/>
  <c r="M18" i="2"/>
  <c r="M22" i="2"/>
  <c r="M25" i="2"/>
  <c r="M9" i="2"/>
  <c r="M24" i="2"/>
  <c r="M21" i="2"/>
  <c r="M7" i="2"/>
  <c r="M10" i="2"/>
  <c r="M12" i="2"/>
  <c r="M17" i="2"/>
  <c r="M19" i="2"/>
  <c r="O6" i="2"/>
  <c r="N5" i="2"/>
  <c r="O23" i="13" l="1"/>
  <c r="O22" i="13"/>
  <c r="O11" i="13"/>
  <c r="O10" i="13"/>
  <c r="O24" i="13"/>
  <c r="O8" i="13"/>
  <c r="O25" i="13"/>
  <c r="O13" i="13"/>
  <c r="O18" i="13"/>
  <c r="O7" i="13"/>
  <c r="O17" i="13"/>
  <c r="O21" i="13"/>
  <c r="O15" i="13"/>
  <c r="O12" i="13"/>
  <c r="O20" i="13"/>
  <c r="O19" i="13"/>
  <c r="O14" i="13"/>
  <c r="O26" i="13"/>
  <c r="O9" i="13"/>
  <c r="O16" i="13"/>
  <c r="P5" i="13"/>
  <c r="Q6" i="13"/>
  <c r="P6" i="12"/>
  <c r="O5" i="12"/>
  <c r="P6" i="11"/>
  <c r="O5" i="11"/>
  <c r="P6" i="10"/>
  <c r="O5" i="10"/>
  <c r="O5" i="9"/>
  <c r="P6" i="9"/>
  <c r="N16" i="8"/>
  <c r="N11" i="8"/>
  <c r="N20" i="8"/>
  <c r="N22" i="8"/>
  <c r="N17" i="8"/>
  <c r="N24" i="8"/>
  <c r="N19" i="8"/>
  <c r="N15" i="8"/>
  <c r="N9" i="8"/>
  <c r="N12" i="8"/>
  <c r="N21" i="8"/>
  <c r="N23" i="8"/>
  <c r="N13" i="8"/>
  <c r="N10" i="8"/>
  <c r="N8" i="8"/>
  <c r="N7" i="8"/>
  <c r="N26" i="8"/>
  <c r="N25" i="8"/>
  <c r="N18" i="8"/>
  <c r="N14" i="8"/>
  <c r="P6" i="8"/>
  <c r="O5" i="8"/>
  <c r="P6" i="7"/>
  <c r="O5" i="7"/>
  <c r="P6" i="6"/>
  <c r="O5" i="6"/>
  <c r="N16" i="5"/>
  <c r="N11" i="5"/>
  <c r="N20" i="5"/>
  <c r="N22" i="5"/>
  <c r="N17" i="5"/>
  <c r="N24" i="5"/>
  <c r="N19" i="5"/>
  <c r="N15" i="5"/>
  <c r="N9" i="5"/>
  <c r="N12" i="5"/>
  <c r="N21" i="5"/>
  <c r="N23" i="5"/>
  <c r="N13" i="5"/>
  <c r="N10" i="5"/>
  <c r="N8" i="5"/>
  <c r="N7" i="5"/>
  <c r="N26" i="5"/>
  <c r="N25" i="5"/>
  <c r="N18" i="5"/>
  <c r="N14" i="5"/>
  <c r="P6" i="5"/>
  <c r="O5" i="5"/>
  <c r="O5" i="4"/>
  <c r="P6" i="4"/>
  <c r="P6" i="3"/>
  <c r="O5" i="3"/>
  <c r="P6" i="2"/>
  <c r="O5" i="2"/>
  <c r="Q5" i="13" l="1"/>
  <c r="R6" i="13"/>
  <c r="Q6" i="12"/>
  <c r="P5" i="12"/>
  <c r="Q6" i="11"/>
  <c r="P5" i="11"/>
  <c r="Q6" i="10"/>
  <c r="P5" i="10"/>
  <c r="O20" i="10"/>
  <c r="O15" i="10"/>
  <c r="O25" i="10"/>
  <c r="O24" i="10"/>
  <c r="O19" i="10"/>
  <c r="O9" i="10"/>
  <c r="O12" i="10"/>
  <c r="O21" i="10"/>
  <c r="O23" i="10"/>
  <c r="O13" i="10"/>
  <c r="O10" i="10"/>
  <c r="O18" i="10"/>
  <c r="O16" i="10"/>
  <c r="O17" i="10"/>
  <c r="O11" i="10"/>
  <c r="O8" i="10"/>
  <c r="O7" i="10"/>
  <c r="O26" i="10"/>
  <c r="O22" i="10"/>
  <c r="O14" i="10"/>
  <c r="Q6" i="9"/>
  <c r="P5" i="9"/>
  <c r="Q6" i="8"/>
  <c r="P5" i="8"/>
  <c r="Q6" i="7"/>
  <c r="P5" i="7"/>
  <c r="Q6" i="6"/>
  <c r="P5" i="6"/>
  <c r="Q6" i="5"/>
  <c r="P5" i="5"/>
  <c r="P5" i="4"/>
  <c r="Q6" i="4"/>
  <c r="Q6" i="3"/>
  <c r="P5" i="3"/>
  <c r="Q6" i="2"/>
  <c r="P5" i="2"/>
  <c r="S6" i="13" l="1"/>
  <c r="R5" i="13"/>
  <c r="R6" i="12"/>
  <c r="Q5" i="12"/>
  <c r="R6" i="11"/>
  <c r="Q5" i="11"/>
  <c r="R6" i="10"/>
  <c r="Q5" i="10"/>
  <c r="R6" i="9"/>
  <c r="Q5" i="9"/>
  <c r="R6" i="8"/>
  <c r="Q5" i="8"/>
  <c r="P20" i="7"/>
  <c r="P15" i="7"/>
  <c r="P25" i="7"/>
  <c r="P10" i="7"/>
  <c r="P24" i="7"/>
  <c r="P19" i="7"/>
  <c r="P9" i="7"/>
  <c r="P12" i="7"/>
  <c r="P21" i="7"/>
  <c r="P23" i="7"/>
  <c r="P13" i="7"/>
  <c r="P18" i="7"/>
  <c r="P16" i="7"/>
  <c r="P7" i="7"/>
  <c r="P26" i="7"/>
  <c r="P8" i="7"/>
  <c r="P22" i="7"/>
  <c r="P14" i="7"/>
  <c r="P17" i="7"/>
  <c r="P11" i="7"/>
  <c r="R6" i="7"/>
  <c r="Q5" i="7"/>
  <c r="R6" i="6"/>
  <c r="Q5" i="6"/>
  <c r="R6" i="5"/>
  <c r="Q5" i="5"/>
  <c r="R6" i="4"/>
  <c r="Q5" i="4"/>
  <c r="R6" i="3"/>
  <c r="Q5" i="3"/>
  <c r="R6" i="2"/>
  <c r="Q5" i="2"/>
  <c r="S5" i="13" l="1"/>
  <c r="T6" i="13"/>
  <c r="Q25" i="12"/>
  <c r="Q10" i="12"/>
  <c r="Q24" i="12"/>
  <c r="Q19" i="12"/>
  <c r="Q26" i="12"/>
  <c r="Q15" i="12"/>
  <c r="Q12" i="12"/>
  <c r="Q21" i="12"/>
  <c r="Q23" i="12"/>
  <c r="Q13" i="12"/>
  <c r="Q18" i="12"/>
  <c r="Q16" i="12"/>
  <c r="Q7" i="12"/>
  <c r="Q9" i="12"/>
  <c r="Q22" i="12"/>
  <c r="Q20" i="12"/>
  <c r="Q14" i="12"/>
  <c r="Q17" i="12"/>
  <c r="Q11" i="12"/>
  <c r="Q8" i="12"/>
  <c r="R5" i="12"/>
  <c r="S6" i="12"/>
  <c r="R5" i="11"/>
  <c r="S6" i="11"/>
  <c r="R5" i="10"/>
  <c r="S6" i="10"/>
  <c r="S6" i="9"/>
  <c r="R5" i="9"/>
  <c r="R5" i="8"/>
  <c r="S6" i="8"/>
  <c r="R5" i="7"/>
  <c r="S6" i="7"/>
  <c r="R5" i="6"/>
  <c r="S6" i="6"/>
  <c r="R5" i="5"/>
  <c r="S6" i="5"/>
  <c r="S6" i="4"/>
  <c r="R5" i="4"/>
  <c r="Q25" i="4"/>
  <c r="Q24" i="4"/>
  <c r="Q13" i="4"/>
  <c r="Q12" i="4"/>
  <c r="Q26" i="4"/>
  <c r="Q15" i="4"/>
  <c r="Q14" i="4"/>
  <c r="Q18" i="4"/>
  <c r="Q10" i="4"/>
  <c r="Q23" i="4"/>
  <c r="Q17" i="4"/>
  <c r="Q7" i="4"/>
  <c r="Q22" i="4"/>
  <c r="Q16" i="4"/>
  <c r="Q9" i="4"/>
  <c r="Q21" i="4"/>
  <c r="Q11" i="4"/>
  <c r="Q8" i="4"/>
  <c r="Q19" i="4"/>
  <c r="Q20" i="4"/>
  <c r="Q25" i="3"/>
  <c r="Q10" i="3"/>
  <c r="Q24" i="3"/>
  <c r="Q19" i="3"/>
  <c r="Q26" i="3"/>
  <c r="Q15" i="3"/>
  <c r="Q12" i="3"/>
  <c r="Q21" i="3"/>
  <c r="Q23" i="3"/>
  <c r="Q13" i="3"/>
  <c r="Q18" i="3"/>
  <c r="Q16" i="3"/>
  <c r="Q7" i="3"/>
  <c r="Q9" i="3"/>
  <c r="Q22" i="3"/>
  <c r="Q20" i="3"/>
  <c r="Q14" i="3"/>
  <c r="Q17" i="3"/>
  <c r="Q11" i="3"/>
  <c r="Q8" i="3"/>
  <c r="R5" i="3"/>
  <c r="S6" i="3"/>
  <c r="S6" i="2"/>
  <c r="R5" i="2"/>
  <c r="T5" i="13" l="1"/>
  <c r="U6" i="13"/>
  <c r="S5" i="12"/>
  <c r="T6" i="12"/>
  <c r="S5" i="11"/>
  <c r="T6" i="11"/>
  <c r="S5" i="10"/>
  <c r="T6" i="10"/>
  <c r="R25" i="9"/>
  <c r="R23" i="9"/>
  <c r="R21" i="9"/>
  <c r="R19" i="9"/>
  <c r="R17" i="9"/>
  <c r="R15" i="9"/>
  <c r="R13" i="9"/>
  <c r="R11" i="9"/>
  <c r="R9" i="9"/>
  <c r="R7" i="9"/>
  <c r="R24" i="9"/>
  <c r="R26" i="9"/>
  <c r="R14" i="9"/>
  <c r="R18" i="9"/>
  <c r="R12" i="9"/>
  <c r="R20" i="9"/>
  <c r="R22" i="9"/>
  <c r="R8" i="9"/>
  <c r="R16" i="9"/>
  <c r="R10" i="9"/>
  <c r="T6" i="9"/>
  <c r="S5" i="9"/>
  <c r="S5" i="8"/>
  <c r="T6" i="8"/>
  <c r="S5" i="7"/>
  <c r="T6" i="7"/>
  <c r="S5" i="6"/>
  <c r="T6" i="6"/>
  <c r="S5" i="5"/>
  <c r="T6" i="5"/>
  <c r="T6" i="4"/>
  <c r="S5" i="4"/>
  <c r="S5" i="3"/>
  <c r="T6" i="3"/>
  <c r="T6" i="2"/>
  <c r="S5" i="2"/>
  <c r="V6" i="13" l="1"/>
  <c r="U5" i="13"/>
  <c r="T5" i="12"/>
  <c r="U6" i="12"/>
  <c r="T5" i="11"/>
  <c r="U6" i="11"/>
  <c r="T5" i="10"/>
  <c r="U6" i="10"/>
  <c r="U6" i="9"/>
  <c r="T5" i="9"/>
  <c r="T5" i="8"/>
  <c r="U6" i="8"/>
  <c r="T5" i="7"/>
  <c r="U6" i="7"/>
  <c r="T5" i="6"/>
  <c r="U6" i="6"/>
  <c r="S25" i="6"/>
  <c r="S23" i="6"/>
  <c r="S21" i="6"/>
  <c r="S19" i="6"/>
  <c r="S17" i="6"/>
  <c r="S15" i="6"/>
  <c r="S13" i="6"/>
  <c r="S11" i="6"/>
  <c r="S9" i="6"/>
  <c r="S7" i="6"/>
  <c r="S26" i="6"/>
  <c r="S14" i="6"/>
  <c r="S18" i="6"/>
  <c r="S16" i="6"/>
  <c r="S10" i="6"/>
  <c r="S20" i="6"/>
  <c r="S22" i="6"/>
  <c r="S12" i="6"/>
  <c r="S24" i="6"/>
  <c r="S8" i="6"/>
  <c r="T5" i="5"/>
  <c r="U6" i="5"/>
  <c r="T5" i="4"/>
  <c r="U6" i="4"/>
  <c r="T5" i="3"/>
  <c r="U6" i="3"/>
  <c r="U6" i="2"/>
  <c r="T5" i="2"/>
  <c r="V5" i="13" l="1"/>
  <c r="W6" i="13"/>
  <c r="U5" i="12"/>
  <c r="V6" i="12"/>
  <c r="U5" i="11"/>
  <c r="V6" i="11"/>
  <c r="T9" i="11"/>
  <c r="T23" i="11"/>
  <c r="T18" i="11"/>
  <c r="T21" i="11"/>
  <c r="T16" i="11"/>
  <c r="T13" i="11"/>
  <c r="T10" i="11"/>
  <c r="T7" i="11"/>
  <c r="T26" i="11"/>
  <c r="T20" i="11"/>
  <c r="T8" i="11"/>
  <c r="T22" i="11"/>
  <c r="T15" i="11"/>
  <c r="T12" i="11"/>
  <c r="T25" i="11"/>
  <c r="T24" i="11"/>
  <c r="T14" i="11"/>
  <c r="T17" i="11"/>
  <c r="T11" i="11"/>
  <c r="T19" i="11"/>
  <c r="U5" i="10"/>
  <c r="V6" i="10"/>
  <c r="U5" i="9"/>
  <c r="V6" i="9"/>
  <c r="U5" i="8"/>
  <c r="V6" i="8"/>
  <c r="U5" i="7"/>
  <c r="V6" i="7"/>
  <c r="U5" i="6"/>
  <c r="V6" i="6"/>
  <c r="U5" i="5"/>
  <c r="V6" i="5"/>
  <c r="U5" i="4"/>
  <c r="V6" i="4"/>
  <c r="U5" i="3"/>
  <c r="V6" i="3"/>
  <c r="T15" i="2"/>
  <c r="T10" i="2"/>
  <c r="T17" i="2"/>
  <c r="T7" i="2"/>
  <c r="T11" i="2"/>
  <c r="T22" i="2"/>
  <c r="T12" i="2"/>
  <c r="T18" i="2"/>
  <c r="T19" i="2"/>
  <c r="T24" i="2"/>
  <c r="T21" i="2"/>
  <c r="T23" i="2"/>
  <c r="T8" i="2"/>
  <c r="T13" i="2"/>
  <c r="T26" i="2"/>
  <c r="T20" i="2"/>
  <c r="T25" i="2"/>
  <c r="T9" i="2"/>
  <c r="T14" i="2"/>
  <c r="T16" i="2"/>
  <c r="V6" i="2"/>
  <c r="U5" i="2"/>
  <c r="V18" i="13" l="1"/>
  <c r="V17" i="13"/>
  <c r="V10" i="13"/>
  <c r="V8" i="13"/>
  <c r="V12" i="13"/>
  <c r="V21" i="13"/>
  <c r="V16" i="13"/>
  <c r="V26" i="13"/>
  <c r="V20" i="13"/>
  <c r="V19" i="13"/>
  <c r="V14" i="13"/>
  <c r="V9" i="13"/>
  <c r="V11" i="13"/>
  <c r="V7" i="13"/>
  <c r="V25" i="13"/>
  <c r="V22" i="13"/>
  <c r="V15" i="13"/>
  <c r="V24" i="13"/>
  <c r="V13" i="13"/>
  <c r="V23" i="13"/>
  <c r="X6" i="13"/>
  <c r="W5" i="13"/>
  <c r="V5" i="12"/>
  <c r="W6" i="12"/>
  <c r="V5" i="11"/>
  <c r="W6" i="11"/>
  <c r="V5" i="10"/>
  <c r="W6" i="10"/>
  <c r="V5" i="9"/>
  <c r="W6" i="9"/>
  <c r="V5" i="8"/>
  <c r="W6" i="8"/>
  <c r="U23" i="8"/>
  <c r="U18" i="8"/>
  <c r="U13" i="8"/>
  <c r="U8" i="8"/>
  <c r="U22" i="8"/>
  <c r="U16" i="8"/>
  <c r="U10" i="8"/>
  <c r="U7" i="8"/>
  <c r="U26" i="8"/>
  <c r="U20" i="8"/>
  <c r="U14" i="8"/>
  <c r="U11" i="8"/>
  <c r="U17" i="8"/>
  <c r="U15" i="8"/>
  <c r="U12" i="8"/>
  <c r="U25" i="8"/>
  <c r="U24" i="8"/>
  <c r="U9" i="8"/>
  <c r="U21" i="8"/>
  <c r="U19" i="8"/>
  <c r="V5" i="7"/>
  <c r="W6" i="7"/>
  <c r="V5" i="6"/>
  <c r="W6" i="6"/>
  <c r="V5" i="5"/>
  <c r="W6" i="5"/>
  <c r="U23" i="5"/>
  <c r="U18" i="5"/>
  <c r="U13" i="5"/>
  <c r="U8" i="5"/>
  <c r="U22" i="5"/>
  <c r="U16" i="5"/>
  <c r="U10" i="5"/>
  <c r="U7" i="5"/>
  <c r="U26" i="5"/>
  <c r="U20" i="5"/>
  <c r="U14" i="5"/>
  <c r="U11" i="5"/>
  <c r="U17" i="5"/>
  <c r="U15" i="5"/>
  <c r="U12" i="5"/>
  <c r="U25" i="5"/>
  <c r="U24" i="5"/>
  <c r="U9" i="5"/>
  <c r="U21" i="5"/>
  <c r="U19" i="5"/>
  <c r="V5" i="4"/>
  <c r="W6" i="4"/>
  <c r="V5" i="3"/>
  <c r="W6" i="3"/>
  <c r="W6" i="2"/>
  <c r="V5" i="2"/>
  <c r="Y6" i="13" l="1"/>
  <c r="X5" i="13"/>
  <c r="W5" i="12"/>
  <c r="X6" i="12"/>
  <c r="W5" i="11"/>
  <c r="X6" i="11"/>
  <c r="W5" i="10"/>
  <c r="X6" i="10"/>
  <c r="V13" i="10"/>
  <c r="V8" i="10"/>
  <c r="V22" i="10"/>
  <c r="V17" i="10"/>
  <c r="V10" i="10"/>
  <c r="V7" i="10"/>
  <c r="V23" i="10"/>
  <c r="V18" i="10"/>
  <c r="V26" i="10"/>
  <c r="V20" i="10"/>
  <c r="V14" i="10"/>
  <c r="V11" i="10"/>
  <c r="V25" i="10"/>
  <c r="V15" i="10"/>
  <c r="V12" i="10"/>
  <c r="V24" i="10"/>
  <c r="V9" i="10"/>
  <c r="V21" i="10"/>
  <c r="V19" i="10"/>
  <c r="V16" i="10"/>
  <c r="W5" i="9"/>
  <c r="X6" i="9"/>
  <c r="W5" i="8"/>
  <c r="X6" i="8"/>
  <c r="W5" i="7"/>
  <c r="X6" i="7"/>
  <c r="W5" i="6"/>
  <c r="X6" i="6"/>
  <c r="W5" i="5"/>
  <c r="X6" i="5"/>
  <c r="W5" i="4"/>
  <c r="X6" i="4"/>
  <c r="W5" i="3"/>
  <c r="X6" i="3"/>
  <c r="X6" i="2"/>
  <c r="W5" i="2"/>
  <c r="Z6" i="13" l="1"/>
  <c r="Y5" i="13"/>
  <c r="X5" i="12"/>
  <c r="Y6" i="12"/>
  <c r="X5" i="11"/>
  <c r="Y6" i="11"/>
  <c r="X5" i="10"/>
  <c r="Y6" i="10"/>
  <c r="Y6" i="9"/>
  <c r="X5" i="9"/>
  <c r="X5" i="8"/>
  <c r="Y6" i="8"/>
  <c r="X5" i="7"/>
  <c r="Y6" i="7"/>
  <c r="W22" i="7"/>
  <c r="W17" i="7"/>
  <c r="W12" i="7"/>
  <c r="W13" i="7"/>
  <c r="W23" i="7"/>
  <c r="W18" i="7"/>
  <c r="W26" i="7"/>
  <c r="W20" i="7"/>
  <c r="W14" i="7"/>
  <c r="W11" i="7"/>
  <c r="W8" i="7"/>
  <c r="W25" i="7"/>
  <c r="W15" i="7"/>
  <c r="W10" i="7"/>
  <c r="W7" i="7"/>
  <c r="W24" i="7"/>
  <c r="W9" i="7"/>
  <c r="W21" i="7"/>
  <c r="W19" i="7"/>
  <c r="W16" i="7"/>
  <c r="X5" i="6"/>
  <c r="Y6" i="6"/>
  <c r="X5" i="5"/>
  <c r="Y6" i="5"/>
  <c r="Y6" i="4"/>
  <c r="X5" i="4"/>
  <c r="X5" i="3"/>
  <c r="Y6" i="3"/>
  <c r="Y6" i="2"/>
  <c r="X5" i="2"/>
  <c r="AA6" i="13" l="1"/>
  <c r="Z5" i="13"/>
  <c r="Z6" i="12"/>
  <c r="Y5" i="12"/>
  <c r="X26" i="12"/>
  <c r="X17" i="12"/>
  <c r="X12" i="12"/>
  <c r="X7" i="12"/>
  <c r="X21" i="12"/>
  <c r="X23" i="12"/>
  <c r="X18" i="12"/>
  <c r="X20" i="12"/>
  <c r="X14" i="12"/>
  <c r="X11" i="12"/>
  <c r="X8" i="12"/>
  <c r="X25" i="12"/>
  <c r="X22" i="12"/>
  <c r="X24" i="12"/>
  <c r="X15" i="12"/>
  <c r="X13" i="12"/>
  <c r="X10" i="12"/>
  <c r="X9" i="12"/>
  <c r="X19" i="12"/>
  <c r="X16" i="12"/>
  <c r="Z6" i="11"/>
  <c r="Y5" i="11"/>
  <c r="Z6" i="10"/>
  <c r="Y5" i="10"/>
  <c r="Z6" i="9"/>
  <c r="Y5" i="9"/>
  <c r="Z6" i="8"/>
  <c r="Y5" i="8"/>
  <c r="Z6" i="7"/>
  <c r="Y5" i="7"/>
  <c r="Z6" i="6"/>
  <c r="Y5" i="6"/>
  <c r="Z6" i="5"/>
  <c r="Y5" i="5"/>
  <c r="X8" i="4"/>
  <c r="X26" i="4"/>
  <c r="X24" i="4"/>
  <c r="X22" i="4"/>
  <c r="X20" i="4"/>
  <c r="X18" i="4"/>
  <c r="X16" i="4"/>
  <c r="X14" i="4"/>
  <c r="X12" i="4"/>
  <c r="X10" i="4"/>
  <c r="X19" i="4"/>
  <c r="X7" i="4"/>
  <c r="X21" i="4"/>
  <c r="X11" i="4"/>
  <c r="X15" i="4"/>
  <c r="X25" i="4"/>
  <c r="X13" i="4"/>
  <c r="X17" i="4"/>
  <c r="X9" i="4"/>
  <c r="X23" i="4"/>
  <c r="Z6" i="4"/>
  <c r="Y5" i="4"/>
  <c r="Z6" i="3"/>
  <c r="Y5" i="3"/>
  <c r="X26" i="3"/>
  <c r="X17" i="3"/>
  <c r="X12" i="3"/>
  <c r="X7" i="3"/>
  <c r="X21" i="3"/>
  <c r="X23" i="3"/>
  <c r="X18" i="3"/>
  <c r="X20" i="3"/>
  <c r="X14" i="3"/>
  <c r="X11" i="3"/>
  <c r="X8" i="3"/>
  <c r="X25" i="3"/>
  <c r="X22" i="3"/>
  <c r="X24" i="3"/>
  <c r="X15" i="3"/>
  <c r="X13" i="3"/>
  <c r="X10" i="3"/>
  <c r="X9" i="3"/>
  <c r="X19" i="3"/>
  <c r="X16" i="3"/>
  <c r="Z6" i="2"/>
  <c r="Y5" i="2"/>
  <c r="AB6" i="13" l="1"/>
  <c r="AA5" i="13"/>
  <c r="AA6" i="12"/>
  <c r="Z5" i="12"/>
  <c r="AA6" i="11"/>
  <c r="Z5" i="11"/>
  <c r="AA6" i="10"/>
  <c r="Z5" i="10"/>
  <c r="Z5" i="9"/>
  <c r="AA6" i="9"/>
  <c r="Y12" i="9"/>
  <c r="Y7" i="9"/>
  <c r="Y21" i="9"/>
  <c r="Y13" i="9"/>
  <c r="Y10" i="9"/>
  <c r="Y25" i="9"/>
  <c r="Y22" i="9"/>
  <c r="Y20" i="9"/>
  <c r="Y19" i="9"/>
  <c r="Y16" i="9"/>
  <c r="Y26" i="9"/>
  <c r="Y23" i="9"/>
  <c r="Y9" i="9"/>
  <c r="Y14" i="9"/>
  <c r="Y24" i="9"/>
  <c r="Y18" i="9"/>
  <c r="Y17" i="9"/>
  <c r="Y8" i="9"/>
  <c r="Y15" i="9"/>
  <c r="Y11" i="9"/>
  <c r="AA6" i="8"/>
  <c r="Z5" i="8"/>
  <c r="AA6" i="7"/>
  <c r="Z5" i="7"/>
  <c r="AA6" i="6"/>
  <c r="Z5" i="6"/>
  <c r="AA6" i="5"/>
  <c r="Z5" i="5"/>
  <c r="AA6" i="4"/>
  <c r="Z5" i="4"/>
  <c r="AA6" i="3"/>
  <c r="Z5" i="3"/>
  <c r="AA6" i="2"/>
  <c r="Z5" i="2"/>
  <c r="AB5" i="13" l="1"/>
  <c r="AC6" i="13"/>
  <c r="AA5" i="12"/>
  <c r="AB6" i="12"/>
  <c r="AA5" i="11"/>
  <c r="AB6" i="11"/>
  <c r="AA5" i="10"/>
  <c r="AB6" i="10"/>
  <c r="AB6" i="9"/>
  <c r="AA5" i="9"/>
  <c r="AA5" i="8"/>
  <c r="AB6" i="8"/>
  <c r="AA5" i="7"/>
  <c r="AB6" i="7"/>
  <c r="Z21" i="6"/>
  <c r="Z16" i="6"/>
  <c r="Z11" i="6"/>
  <c r="Z20" i="6"/>
  <c r="Z26" i="6"/>
  <c r="Z14" i="6"/>
  <c r="Z25" i="6"/>
  <c r="Z8" i="6"/>
  <c r="Z22" i="6"/>
  <c r="Z17" i="6"/>
  <c r="Z15" i="6"/>
  <c r="Z24" i="6"/>
  <c r="Z19" i="6"/>
  <c r="Z9" i="6"/>
  <c r="Z7" i="6"/>
  <c r="Z12" i="6"/>
  <c r="Z23" i="6"/>
  <c r="Z18" i="6"/>
  <c r="Z13" i="6"/>
  <c r="Z10" i="6"/>
  <c r="AA5" i="6"/>
  <c r="AB6" i="6"/>
  <c r="AA5" i="5"/>
  <c r="AB6" i="5"/>
  <c r="AB6" i="4"/>
  <c r="AA5" i="4"/>
  <c r="AA5" i="3"/>
  <c r="AB6" i="3"/>
  <c r="AB6" i="2"/>
  <c r="AA5" i="2"/>
  <c r="AC5" i="13" l="1"/>
  <c r="AD6" i="13"/>
  <c r="AC6" i="12"/>
  <c r="AB5" i="12"/>
  <c r="AC6" i="11"/>
  <c r="AB5" i="11"/>
  <c r="AA16" i="11"/>
  <c r="AA11" i="11"/>
  <c r="AA20" i="11"/>
  <c r="AA26" i="11"/>
  <c r="AA14" i="11"/>
  <c r="AA25" i="11"/>
  <c r="AA8" i="11"/>
  <c r="AA22" i="11"/>
  <c r="AA17" i="11"/>
  <c r="AA15" i="11"/>
  <c r="AA24" i="11"/>
  <c r="AA19" i="11"/>
  <c r="AA9" i="11"/>
  <c r="AA12" i="11"/>
  <c r="AA7" i="11"/>
  <c r="AA23" i="11"/>
  <c r="AA21" i="11"/>
  <c r="AA18" i="11"/>
  <c r="AA13" i="11"/>
  <c r="AA10" i="11"/>
  <c r="AC6" i="10"/>
  <c r="AB5" i="10"/>
  <c r="AB5" i="9"/>
  <c r="AC6" i="9"/>
  <c r="AC6" i="8"/>
  <c r="AB5" i="8"/>
  <c r="AC6" i="7"/>
  <c r="AB5" i="7"/>
  <c r="AC6" i="6"/>
  <c r="AB5" i="6"/>
  <c r="AC6" i="5"/>
  <c r="AB5" i="5"/>
  <c r="AC6" i="4"/>
  <c r="AB5" i="4"/>
  <c r="AC6" i="3"/>
  <c r="AB5" i="3"/>
  <c r="AA14" i="2"/>
  <c r="AA26" i="2"/>
  <c r="AA9" i="2"/>
  <c r="AA20" i="2"/>
  <c r="AA23" i="2"/>
  <c r="AA8" i="2"/>
  <c r="AA15" i="2"/>
  <c r="AA16" i="2"/>
  <c r="AA18" i="2"/>
  <c r="AA22" i="2"/>
  <c r="AA25" i="2"/>
  <c r="AA21" i="2"/>
  <c r="AA24" i="2"/>
  <c r="AA10" i="2"/>
  <c r="AA12" i="2"/>
  <c r="AA17" i="2"/>
  <c r="AA19" i="2"/>
  <c r="AA7" i="2"/>
  <c r="AA11" i="2"/>
  <c r="AA13" i="2"/>
  <c r="AC6" i="2"/>
  <c r="AB5" i="2"/>
  <c r="AE6" i="13" l="1"/>
  <c r="AD5" i="13"/>
  <c r="AC23" i="13"/>
  <c r="AC22" i="13"/>
  <c r="AC11" i="13"/>
  <c r="AC10" i="13"/>
  <c r="AC8" i="13"/>
  <c r="AC13" i="13"/>
  <c r="AC25" i="13"/>
  <c r="AC24" i="13"/>
  <c r="AC14" i="13"/>
  <c r="AC9" i="13"/>
  <c r="AC19" i="13"/>
  <c r="AC7" i="13"/>
  <c r="AC18" i="13"/>
  <c r="AC20" i="13"/>
  <c r="AC17" i="13"/>
  <c r="AC26" i="13"/>
  <c r="AC15" i="13"/>
  <c r="AC16" i="13"/>
  <c r="AC12" i="13"/>
  <c r="AC21" i="13"/>
  <c r="AD6" i="12"/>
  <c r="AC5" i="12"/>
  <c r="AD6" i="11"/>
  <c r="AC5" i="11"/>
  <c r="AD6" i="10"/>
  <c r="AC5" i="10"/>
  <c r="AD6" i="9"/>
  <c r="AC5" i="9"/>
  <c r="AB20" i="8"/>
  <c r="AB15" i="8"/>
  <c r="AB25" i="8"/>
  <c r="AB11" i="8"/>
  <c r="AB8" i="8"/>
  <c r="AB22" i="8"/>
  <c r="AB17" i="8"/>
  <c r="AB24" i="8"/>
  <c r="AB19" i="8"/>
  <c r="AB9" i="8"/>
  <c r="AB12" i="8"/>
  <c r="AB23" i="8"/>
  <c r="AB21" i="8"/>
  <c r="AB26" i="8"/>
  <c r="AB18" i="8"/>
  <c r="AB14" i="8"/>
  <c r="AB16" i="8"/>
  <c r="AB13" i="8"/>
  <c r="AB10" i="8"/>
  <c r="AB7" i="8"/>
  <c r="AD6" i="8"/>
  <c r="AC5" i="8"/>
  <c r="AD6" i="7"/>
  <c r="AC5" i="7"/>
  <c r="AD6" i="6"/>
  <c r="AC5" i="6"/>
  <c r="AB20" i="5"/>
  <c r="AB15" i="5"/>
  <c r="AB25" i="5"/>
  <c r="AB11" i="5"/>
  <c r="AB8" i="5"/>
  <c r="AB22" i="5"/>
  <c r="AB17" i="5"/>
  <c r="AB24" i="5"/>
  <c r="AB19" i="5"/>
  <c r="AB9" i="5"/>
  <c r="AB12" i="5"/>
  <c r="AB23" i="5"/>
  <c r="AB21" i="5"/>
  <c r="AB26" i="5"/>
  <c r="AB18" i="5"/>
  <c r="AB14" i="5"/>
  <c r="AB16" i="5"/>
  <c r="AB13" i="5"/>
  <c r="AB10" i="5"/>
  <c r="AB7" i="5"/>
  <c r="AD6" i="5"/>
  <c r="AC5" i="5"/>
  <c r="AC5" i="4"/>
  <c r="AD6" i="4"/>
  <c r="AD6" i="3"/>
  <c r="AC5" i="3"/>
  <c r="AD6" i="2"/>
  <c r="AC5" i="2"/>
  <c r="AE5" i="13" l="1"/>
  <c r="AF6" i="13"/>
  <c r="AE6" i="12"/>
  <c r="AD5" i="12"/>
  <c r="AE6" i="11"/>
  <c r="AD5" i="11"/>
  <c r="AC20" i="10"/>
  <c r="AC15" i="10"/>
  <c r="AC10" i="10"/>
  <c r="AC25" i="10"/>
  <c r="AC24" i="10"/>
  <c r="AC19" i="10"/>
  <c r="AC22" i="10"/>
  <c r="AC17" i="10"/>
  <c r="AC9" i="10"/>
  <c r="AC12" i="10"/>
  <c r="AC21" i="10"/>
  <c r="AC23" i="10"/>
  <c r="AC26" i="10"/>
  <c r="AC18" i="10"/>
  <c r="AC14" i="10"/>
  <c r="AC16" i="10"/>
  <c r="AC13" i="10"/>
  <c r="AC11" i="10"/>
  <c r="AC8" i="10"/>
  <c r="AC7" i="10"/>
  <c r="AE6" i="10"/>
  <c r="AD5" i="10"/>
  <c r="AE6" i="9"/>
  <c r="AD5" i="9"/>
  <c r="AE6" i="8"/>
  <c r="AD5" i="8"/>
  <c r="AE6" i="7"/>
  <c r="AD5" i="7"/>
  <c r="AE6" i="6"/>
  <c r="AD5" i="6"/>
  <c r="AE6" i="5"/>
  <c r="AD5" i="5"/>
  <c r="AD5" i="4"/>
  <c r="AE6" i="4"/>
  <c r="AE6" i="3"/>
  <c r="AD5" i="3"/>
  <c r="AE6" i="2"/>
  <c r="AD5" i="2"/>
  <c r="AG6" i="13" l="1"/>
  <c r="AF5" i="13"/>
  <c r="AE5" i="12"/>
  <c r="AF6" i="12"/>
  <c r="AE5" i="11"/>
  <c r="AF6" i="11"/>
  <c r="AE5" i="10"/>
  <c r="AF6" i="10"/>
  <c r="AF6" i="9"/>
  <c r="AE5" i="9"/>
  <c r="AE5" i="8"/>
  <c r="AF6" i="8"/>
  <c r="AD25" i="7"/>
  <c r="AD10" i="7"/>
  <c r="AD24" i="7"/>
  <c r="AD19" i="7"/>
  <c r="AD22" i="7"/>
  <c r="AD17" i="7"/>
  <c r="AD9" i="7"/>
  <c r="AD15" i="7"/>
  <c r="AD12" i="7"/>
  <c r="AD21" i="7"/>
  <c r="AD13" i="7"/>
  <c r="AD23" i="7"/>
  <c r="AD16" i="7"/>
  <c r="AD26" i="7"/>
  <c r="AD18" i="7"/>
  <c r="AD14" i="7"/>
  <c r="AD20" i="7"/>
  <c r="AD11" i="7"/>
  <c r="AD8" i="7"/>
  <c r="AD7" i="7"/>
  <c r="AE5" i="7"/>
  <c r="AF6" i="7"/>
  <c r="AE5" i="6"/>
  <c r="AF6" i="6"/>
  <c r="AE5" i="5"/>
  <c r="AF6" i="5"/>
  <c r="AE5" i="4"/>
  <c r="AF6" i="4"/>
  <c r="AE5" i="3"/>
  <c r="AF6" i="3"/>
  <c r="AF6" i="2"/>
  <c r="AE5" i="2"/>
  <c r="AH6" i="13" l="1"/>
  <c r="AG5" i="13"/>
  <c r="AF5" i="12"/>
  <c r="AG6" i="12"/>
  <c r="AE25" i="12"/>
  <c r="AE23" i="12"/>
  <c r="AE21" i="12"/>
  <c r="AE19" i="12"/>
  <c r="AE17" i="12"/>
  <c r="AE15" i="12"/>
  <c r="AE13" i="12"/>
  <c r="AE11" i="12"/>
  <c r="AE9" i="12"/>
  <c r="AE7" i="12"/>
  <c r="AE24" i="12"/>
  <c r="AE14" i="12"/>
  <c r="AE26" i="12"/>
  <c r="AE12" i="12"/>
  <c r="AE16" i="12"/>
  <c r="AE18" i="12"/>
  <c r="AE22" i="12"/>
  <c r="AE20" i="12"/>
  <c r="AE8" i="12"/>
  <c r="AE10" i="12"/>
  <c r="AF5" i="11"/>
  <c r="AG6" i="11"/>
  <c r="AF5" i="10"/>
  <c r="AG6" i="10"/>
  <c r="AG6" i="9"/>
  <c r="AF5" i="9"/>
  <c r="AF5" i="8"/>
  <c r="AG6" i="8"/>
  <c r="AF5" i="7"/>
  <c r="AG6" i="7"/>
  <c r="AF5" i="6"/>
  <c r="AG6" i="6"/>
  <c r="AF5" i="5"/>
  <c r="AG6" i="5"/>
  <c r="AF5" i="4"/>
  <c r="AG6" i="4"/>
  <c r="AE25" i="4"/>
  <c r="AE23" i="4"/>
  <c r="AE21" i="4"/>
  <c r="AE19" i="4"/>
  <c r="AE17" i="4"/>
  <c r="AE15" i="4"/>
  <c r="AE13" i="4"/>
  <c r="AE11" i="4"/>
  <c r="AE9" i="4"/>
  <c r="AE7" i="4"/>
  <c r="AE24" i="4"/>
  <c r="AE12" i="4"/>
  <c r="AE26" i="4"/>
  <c r="AE14" i="4"/>
  <c r="AE8" i="4"/>
  <c r="AE10" i="4"/>
  <c r="AE18" i="4"/>
  <c r="AE16" i="4"/>
  <c r="AE22" i="4"/>
  <c r="AE20" i="4"/>
  <c r="AF5" i="3"/>
  <c r="AG6" i="3"/>
  <c r="AE25" i="3"/>
  <c r="AE23" i="3"/>
  <c r="AE21" i="3"/>
  <c r="AE19" i="3"/>
  <c r="AE17" i="3"/>
  <c r="AE15" i="3"/>
  <c r="AE13" i="3"/>
  <c r="AE11" i="3"/>
  <c r="AE9" i="3"/>
  <c r="AE7" i="3"/>
  <c r="AE24" i="3"/>
  <c r="AE14" i="3"/>
  <c r="AE26" i="3"/>
  <c r="AE12" i="3"/>
  <c r="AE16" i="3"/>
  <c r="AE18" i="3"/>
  <c r="AE22" i="3"/>
  <c r="AE20" i="3"/>
  <c r="AE8" i="3"/>
  <c r="AE10" i="3"/>
  <c r="AG6" i="2"/>
  <c r="AF5" i="2"/>
  <c r="AH5" i="13" l="1"/>
  <c r="AI6" i="13"/>
  <c r="AG5" i="12"/>
  <c r="AH6" i="12"/>
  <c r="AG5" i="11"/>
  <c r="AH6" i="11"/>
  <c r="AG5" i="10"/>
  <c r="AH6" i="10"/>
  <c r="AG5" i="9"/>
  <c r="AH6" i="9"/>
  <c r="AF19" i="9"/>
  <c r="AF14" i="9"/>
  <c r="AF23" i="9"/>
  <c r="AF26" i="9"/>
  <c r="AF25" i="9"/>
  <c r="AF9" i="9"/>
  <c r="AF20" i="9"/>
  <c r="AF17" i="9"/>
  <c r="AF8" i="9"/>
  <c r="AF24" i="9"/>
  <c r="AF21" i="9"/>
  <c r="AF11" i="9"/>
  <c r="AF18" i="9"/>
  <c r="AF12" i="9"/>
  <c r="AF16" i="9"/>
  <c r="AF13" i="9"/>
  <c r="AF7" i="9"/>
  <c r="AF10" i="9"/>
  <c r="AF15" i="9"/>
  <c r="AF22" i="9"/>
  <c r="AG5" i="8"/>
  <c r="AH6" i="8"/>
  <c r="AG5" i="7"/>
  <c r="AH6" i="7"/>
  <c r="AG5" i="6"/>
  <c r="AH6" i="6"/>
  <c r="AG5" i="5"/>
  <c r="AH6" i="5"/>
  <c r="AG5" i="4"/>
  <c r="AH6" i="4"/>
  <c r="AG5" i="3"/>
  <c r="AH6" i="3"/>
  <c r="AH6" i="2"/>
  <c r="AG5" i="2"/>
  <c r="AJ6" i="13" l="1"/>
  <c r="AI5" i="13"/>
  <c r="AH5" i="12"/>
  <c r="AI6" i="12"/>
  <c r="AH5" i="11"/>
  <c r="AI6" i="11"/>
  <c r="AH5" i="10"/>
  <c r="AI6" i="10"/>
  <c r="AH5" i="9"/>
  <c r="AI6" i="9"/>
  <c r="AH5" i="8"/>
  <c r="AI6" i="8"/>
  <c r="AH5" i="7"/>
  <c r="AI6" i="7"/>
  <c r="AH5" i="6"/>
  <c r="AI6" i="6"/>
  <c r="AG26" i="6"/>
  <c r="AG25" i="6"/>
  <c r="AG9" i="6"/>
  <c r="AG23" i="6"/>
  <c r="AG18" i="6"/>
  <c r="AG15" i="6"/>
  <c r="AG24" i="6"/>
  <c r="AG19" i="6"/>
  <c r="AG21" i="6"/>
  <c r="AG16" i="6"/>
  <c r="AG13" i="6"/>
  <c r="AG10" i="6"/>
  <c r="AG7" i="6"/>
  <c r="AG12" i="6"/>
  <c r="AG22" i="6"/>
  <c r="AG20" i="6"/>
  <c r="AG14" i="6"/>
  <c r="AG11" i="6"/>
  <c r="AG8" i="6"/>
  <c r="AG17" i="6"/>
  <c r="AH5" i="5"/>
  <c r="AI6" i="5"/>
  <c r="AH5" i="4"/>
  <c r="AI6" i="4"/>
  <c r="AH5" i="3"/>
  <c r="AI6" i="3"/>
  <c r="AI6" i="2"/>
  <c r="AH5" i="2"/>
  <c r="AK6" i="13" l="1"/>
  <c r="AJ5" i="13"/>
  <c r="AI5" i="12"/>
  <c r="AJ6" i="12"/>
  <c r="AI5" i="11"/>
  <c r="AJ6" i="11"/>
  <c r="AH23" i="11"/>
  <c r="AH18" i="11"/>
  <c r="AH13" i="11"/>
  <c r="AH8" i="11"/>
  <c r="AH22" i="11"/>
  <c r="AH24" i="11"/>
  <c r="AH9" i="11"/>
  <c r="AH19" i="11"/>
  <c r="AH21" i="11"/>
  <c r="AH16" i="11"/>
  <c r="AH10" i="11"/>
  <c r="AH7" i="11"/>
  <c r="AH12" i="11"/>
  <c r="AH26" i="11"/>
  <c r="AH20" i="11"/>
  <c r="AH14" i="11"/>
  <c r="AH11" i="11"/>
  <c r="AH25" i="11"/>
  <c r="AH17" i="11"/>
  <c r="AH15" i="11"/>
  <c r="AI5" i="10"/>
  <c r="AJ6" i="10"/>
  <c r="AI5" i="9"/>
  <c r="AJ6" i="9"/>
  <c r="AI5" i="8"/>
  <c r="AJ6" i="8"/>
  <c r="AI5" i="7"/>
  <c r="AJ6" i="7"/>
  <c r="AI5" i="6"/>
  <c r="AJ6" i="6"/>
  <c r="AI5" i="5"/>
  <c r="AJ6" i="5"/>
  <c r="AI5" i="4"/>
  <c r="AJ6" i="4"/>
  <c r="AI5" i="3"/>
  <c r="AJ6" i="3"/>
  <c r="AH13" i="2"/>
  <c r="AH25" i="2"/>
  <c r="AH8" i="2"/>
  <c r="AH17" i="2"/>
  <c r="AH24" i="2"/>
  <c r="AH7" i="2"/>
  <c r="AH11" i="2"/>
  <c r="AH12" i="2"/>
  <c r="AH18" i="2"/>
  <c r="AH22" i="2"/>
  <c r="AH15" i="2"/>
  <c r="AH23" i="2"/>
  <c r="AH20" i="2"/>
  <c r="AH26" i="2"/>
  <c r="AH9" i="2"/>
  <c r="AH14" i="2"/>
  <c r="AH16" i="2"/>
  <c r="AH19" i="2"/>
  <c r="AH10" i="2"/>
  <c r="AH21" i="2"/>
  <c r="AJ6" i="2"/>
  <c r="AI5" i="2"/>
  <c r="AL6" i="13" l="1"/>
  <c r="AK5" i="13"/>
  <c r="AJ10" i="13"/>
  <c r="AJ26" i="13"/>
  <c r="AJ24" i="13"/>
  <c r="AJ22" i="13"/>
  <c r="AJ20" i="13"/>
  <c r="AJ18" i="13"/>
  <c r="AJ16" i="13"/>
  <c r="AJ14" i="13"/>
  <c r="AJ12" i="13"/>
  <c r="AJ17" i="13"/>
  <c r="AJ23" i="13"/>
  <c r="AJ8" i="13"/>
  <c r="AJ21" i="13"/>
  <c r="AJ13" i="13"/>
  <c r="AJ11" i="13"/>
  <c r="AJ25" i="13"/>
  <c r="AJ19" i="13"/>
  <c r="AJ9" i="13"/>
  <c r="AJ7" i="13"/>
  <c r="AJ15" i="13"/>
  <c r="AJ5" i="12"/>
  <c r="AK6" i="12"/>
  <c r="AJ5" i="11"/>
  <c r="AK6" i="11"/>
  <c r="AJ5" i="10"/>
  <c r="AK6" i="10"/>
  <c r="AJ5" i="9"/>
  <c r="AK6" i="9"/>
  <c r="AJ5" i="8"/>
  <c r="AK6" i="8"/>
  <c r="AI13" i="8"/>
  <c r="AI8" i="8"/>
  <c r="AI22" i="8"/>
  <c r="AI17" i="8"/>
  <c r="AI19" i="8"/>
  <c r="AI21" i="8"/>
  <c r="AI16" i="8"/>
  <c r="AI10" i="8"/>
  <c r="AI7" i="8"/>
  <c r="AI23" i="8"/>
  <c r="AI18" i="8"/>
  <c r="AI20" i="8"/>
  <c r="AI26" i="8"/>
  <c r="AI14" i="8"/>
  <c r="AI9" i="8"/>
  <c r="AI24" i="8"/>
  <c r="AI11" i="8"/>
  <c r="AI25" i="8"/>
  <c r="AI15" i="8"/>
  <c r="AI12" i="8"/>
  <c r="AJ5" i="7"/>
  <c r="AK6" i="7"/>
  <c r="AJ5" i="6"/>
  <c r="AK6" i="6"/>
  <c r="AJ5" i="5"/>
  <c r="AK6" i="5"/>
  <c r="AI13" i="5"/>
  <c r="AI8" i="5"/>
  <c r="AI22" i="5"/>
  <c r="AI17" i="5"/>
  <c r="AI19" i="5"/>
  <c r="AI21" i="5"/>
  <c r="AI16" i="5"/>
  <c r="AI10" i="5"/>
  <c r="AI7" i="5"/>
  <c r="AI23" i="5"/>
  <c r="AI18" i="5"/>
  <c r="AI20" i="5"/>
  <c r="AI26" i="5"/>
  <c r="AI14" i="5"/>
  <c r="AI9" i="5"/>
  <c r="AI24" i="5"/>
  <c r="AI11" i="5"/>
  <c r="AI25" i="5"/>
  <c r="AI15" i="5"/>
  <c r="AI12" i="5"/>
  <c r="AJ5" i="4"/>
  <c r="AK6" i="4"/>
  <c r="AJ5" i="3"/>
  <c r="AK6" i="3"/>
  <c r="AK6" i="2"/>
  <c r="AJ5" i="2"/>
  <c r="AM6" i="13" l="1"/>
  <c r="AM5" i="13" s="1"/>
  <c r="AL5" i="13"/>
  <c r="AL6" i="12"/>
  <c r="AK5" i="12"/>
  <c r="AL6" i="11"/>
  <c r="AK5" i="11"/>
  <c r="AL6" i="10"/>
  <c r="AK5" i="10"/>
  <c r="AJ26" i="10"/>
  <c r="AJ24" i="10"/>
  <c r="AJ22" i="10"/>
  <c r="AJ17" i="10"/>
  <c r="AJ12" i="10"/>
  <c r="AJ21" i="10"/>
  <c r="AJ16" i="10"/>
  <c r="AJ10" i="10"/>
  <c r="AJ7" i="10"/>
  <c r="AJ13" i="10"/>
  <c r="AJ23" i="10"/>
  <c r="AJ18" i="10"/>
  <c r="AJ20" i="10"/>
  <c r="AJ14" i="10"/>
  <c r="AJ11" i="10"/>
  <c r="AJ9" i="10"/>
  <c r="AJ25" i="10"/>
  <c r="AJ8" i="10"/>
  <c r="AJ19" i="10"/>
  <c r="AJ15" i="10"/>
  <c r="AL6" i="9"/>
  <c r="AK5" i="9"/>
  <c r="AL6" i="8"/>
  <c r="AK5" i="8"/>
  <c r="AL6" i="7"/>
  <c r="AK5" i="7"/>
  <c r="AL6" i="6"/>
  <c r="AK5" i="6"/>
  <c r="AL6" i="5"/>
  <c r="AK5" i="5"/>
  <c r="AL6" i="4"/>
  <c r="AK5" i="4"/>
  <c r="AL6" i="3"/>
  <c r="AK5" i="3"/>
  <c r="AL6" i="2"/>
  <c r="AM6" i="2" s="1"/>
  <c r="AM5" i="2" s="1"/>
  <c r="AK5" i="2"/>
  <c r="H12" i="13" l="1"/>
  <c r="H8" i="13"/>
  <c r="H9" i="13"/>
  <c r="H15" i="13"/>
  <c r="H19" i="13"/>
  <c r="H13" i="13"/>
  <c r="H25" i="13"/>
  <c r="H23" i="13"/>
  <c r="H18" i="13"/>
  <c r="H22" i="13"/>
  <c r="H24" i="13"/>
  <c r="H21" i="13"/>
  <c r="H10" i="13"/>
  <c r="H11" i="13"/>
  <c r="H14" i="13"/>
  <c r="H16" i="13"/>
  <c r="H20" i="13"/>
  <c r="H26" i="13"/>
  <c r="H17" i="13"/>
  <c r="H7" i="13"/>
  <c r="AM6" i="12"/>
  <c r="AM5" i="12" s="1"/>
  <c r="AL5" i="12"/>
  <c r="AM6" i="11"/>
  <c r="AM5" i="11" s="1"/>
  <c r="AL5" i="11"/>
  <c r="AM6" i="10"/>
  <c r="AM5" i="10" s="1"/>
  <c r="AL5" i="10"/>
  <c r="AM6" i="9"/>
  <c r="AM5" i="9" s="1"/>
  <c r="AL5" i="9"/>
  <c r="AM6" i="8"/>
  <c r="AM5" i="8" s="1"/>
  <c r="AL5" i="8"/>
  <c r="AK26" i="7"/>
  <c r="AK24" i="7"/>
  <c r="AK22" i="7"/>
  <c r="AK20" i="7"/>
  <c r="AK18" i="7"/>
  <c r="AK16" i="7"/>
  <c r="AK14" i="7"/>
  <c r="AK12" i="7"/>
  <c r="AK10" i="7"/>
  <c r="AK8" i="7"/>
  <c r="AK17" i="7"/>
  <c r="AK7" i="7"/>
  <c r="AK21" i="7"/>
  <c r="AK13" i="7"/>
  <c r="AK23" i="7"/>
  <c r="AK11" i="7"/>
  <c r="AK25" i="7"/>
  <c r="AK19" i="7"/>
  <c r="AK15" i="7"/>
  <c r="AK9" i="7"/>
  <c r="AM6" i="7"/>
  <c r="AM5" i="7" s="1"/>
  <c r="AL5" i="7"/>
  <c r="AM6" i="6"/>
  <c r="AM5" i="6" s="1"/>
  <c r="AL5" i="6"/>
  <c r="AM6" i="5"/>
  <c r="AM5" i="5" s="1"/>
  <c r="AL5" i="5"/>
  <c r="AM6" i="4"/>
  <c r="AM5" i="4" s="1"/>
  <c r="AL5" i="4"/>
  <c r="AM6" i="3"/>
  <c r="AM5" i="3" s="1"/>
  <c r="AL5" i="3"/>
  <c r="AL5" i="2"/>
  <c r="AW16" i="13" l="1"/>
  <c r="AV16" i="13"/>
  <c r="AU16" i="13"/>
  <c r="AW12" i="13"/>
  <c r="AV12" i="13"/>
  <c r="AU12" i="13"/>
  <c r="AW26" i="13"/>
  <c r="AU26" i="13"/>
  <c r="AV26" i="13"/>
  <c r="AV17" i="13"/>
  <c r="AU17" i="13"/>
  <c r="AW17" i="13"/>
  <c r="AW10" i="13"/>
  <c r="AU10" i="13"/>
  <c r="AV10" i="13"/>
  <c r="AW22" i="13"/>
  <c r="AU22" i="13"/>
  <c r="AV22" i="13"/>
  <c r="AW8" i="13"/>
  <c r="AV8" i="13"/>
  <c r="AU8" i="13"/>
  <c r="AW15" i="13"/>
  <c r="AU15" i="13"/>
  <c r="AV15" i="13"/>
  <c r="AW23" i="13"/>
  <c r="AU23" i="13"/>
  <c r="AV23" i="13"/>
  <c r="AU21" i="13"/>
  <c r="AW21" i="13"/>
  <c r="AV21" i="13"/>
  <c r="AU24" i="13"/>
  <c r="AW24" i="13"/>
  <c r="AV24" i="13"/>
  <c r="AW18" i="13"/>
  <c r="AU18" i="13"/>
  <c r="AV18" i="13"/>
  <c r="AX24" i="13"/>
  <c r="AX23" i="13"/>
  <c r="AX12" i="13"/>
  <c r="AX11" i="13"/>
  <c r="AX7" i="13"/>
  <c r="AX26" i="13"/>
  <c r="AX21" i="13"/>
  <c r="AX9" i="13"/>
  <c r="AX15" i="13"/>
  <c r="AX25" i="13"/>
  <c r="AX20" i="13"/>
  <c r="AX14" i="13"/>
  <c r="AX8" i="13"/>
  <c r="AX16" i="13"/>
  <c r="AX10" i="13"/>
  <c r="AX22" i="13"/>
  <c r="AX18" i="13"/>
  <c r="AX19" i="13"/>
  <c r="AX13" i="13"/>
  <c r="AX17" i="13"/>
  <c r="AW25" i="13"/>
  <c r="AU25" i="13"/>
  <c r="AV25" i="13"/>
  <c r="AV14" i="13"/>
  <c r="AU14" i="13"/>
  <c r="AW14" i="13"/>
  <c r="AU11" i="13"/>
  <c r="AW11" i="13"/>
  <c r="AV11" i="13"/>
  <c r="AV7" i="13"/>
  <c r="AW7" i="13"/>
  <c r="AU7" i="13"/>
  <c r="AU9" i="13"/>
  <c r="AV9" i="13"/>
  <c r="AW9" i="13"/>
  <c r="AU20" i="13"/>
  <c r="AW20" i="13"/>
  <c r="AV20" i="13"/>
  <c r="AW13" i="13"/>
  <c r="AU13" i="13"/>
  <c r="AV13" i="13"/>
  <c r="AW19" i="13"/>
  <c r="AV19" i="13"/>
  <c r="AU19" i="13"/>
  <c r="AL12" i="12"/>
  <c r="AL7" i="12"/>
  <c r="AL21" i="12"/>
  <c r="AL16" i="12"/>
  <c r="AL13" i="12"/>
  <c r="AL10" i="12"/>
  <c r="AL23" i="12"/>
  <c r="AL18" i="12"/>
  <c r="AL11" i="12"/>
  <c r="AL20" i="12"/>
  <c r="AL14" i="12"/>
  <c r="AL8" i="12"/>
  <c r="AL26" i="12"/>
  <c r="AL25" i="12"/>
  <c r="AL24" i="12"/>
  <c r="AL22" i="12"/>
  <c r="AL19" i="12"/>
  <c r="AL17" i="12"/>
  <c r="AL15" i="12"/>
  <c r="AL9" i="12"/>
  <c r="H18" i="12"/>
  <c r="H10" i="12"/>
  <c r="H11" i="12"/>
  <c r="H7" i="12"/>
  <c r="H25" i="12"/>
  <c r="H22" i="12"/>
  <c r="H8" i="12"/>
  <c r="H23" i="12"/>
  <c r="H24" i="12"/>
  <c r="H14" i="12"/>
  <c r="H16" i="12"/>
  <c r="H20" i="12"/>
  <c r="H17" i="12"/>
  <c r="H21" i="12"/>
  <c r="H15" i="12"/>
  <c r="H12" i="12"/>
  <c r="H19" i="12"/>
  <c r="H13" i="12"/>
  <c r="H26" i="12"/>
  <c r="H9" i="12"/>
  <c r="H18" i="11"/>
  <c r="H10" i="11"/>
  <c r="H11" i="11"/>
  <c r="H7" i="11"/>
  <c r="H25" i="11"/>
  <c r="H22" i="11"/>
  <c r="H8" i="11"/>
  <c r="H23" i="11"/>
  <c r="H24" i="11"/>
  <c r="H14" i="11"/>
  <c r="H16" i="11"/>
  <c r="H20" i="11"/>
  <c r="H17" i="11"/>
  <c r="H21" i="11"/>
  <c r="H15" i="11"/>
  <c r="H12" i="11"/>
  <c r="H19" i="11"/>
  <c r="H13" i="11"/>
  <c r="H26" i="11"/>
  <c r="H9" i="11"/>
  <c r="H18" i="10"/>
  <c r="H10" i="10"/>
  <c r="H11" i="10"/>
  <c r="H7" i="10"/>
  <c r="H25" i="10"/>
  <c r="H22" i="10"/>
  <c r="H8" i="10"/>
  <c r="H23" i="10"/>
  <c r="H24" i="10"/>
  <c r="H14" i="10"/>
  <c r="H16" i="10"/>
  <c r="H20" i="10"/>
  <c r="H17" i="10"/>
  <c r="H21" i="10"/>
  <c r="H15" i="10"/>
  <c r="H12" i="10"/>
  <c r="H19" i="10"/>
  <c r="H13" i="10"/>
  <c r="H26" i="10"/>
  <c r="H9" i="10"/>
  <c r="H16" i="9"/>
  <c r="H22" i="9"/>
  <c r="H9" i="9"/>
  <c r="H10" i="9"/>
  <c r="H26" i="9"/>
  <c r="H23" i="9"/>
  <c r="H7" i="9"/>
  <c r="H17" i="9"/>
  <c r="H19" i="9"/>
  <c r="H15" i="9"/>
  <c r="H8" i="9"/>
  <c r="H13" i="9"/>
  <c r="H25" i="9"/>
  <c r="H18" i="9"/>
  <c r="H21" i="9"/>
  <c r="H12" i="9"/>
  <c r="H14" i="9"/>
  <c r="H20" i="9"/>
  <c r="H11" i="9"/>
  <c r="H24" i="9"/>
  <c r="AM21" i="9"/>
  <c r="AM16" i="9"/>
  <c r="AM11" i="9"/>
  <c r="AM12" i="9"/>
  <c r="AM19" i="9"/>
  <c r="AM13" i="9"/>
  <c r="AM23" i="9"/>
  <c r="AM10" i="9"/>
  <c r="AM7" i="9"/>
  <c r="AM26" i="9"/>
  <c r="AM25" i="9"/>
  <c r="AM18" i="9"/>
  <c r="AM24" i="9"/>
  <c r="AM8" i="9"/>
  <c r="AM17" i="9"/>
  <c r="AM22" i="9"/>
  <c r="AM20" i="9"/>
  <c r="AM15" i="9"/>
  <c r="AM9" i="9"/>
  <c r="AM14" i="9"/>
  <c r="H18" i="8"/>
  <c r="H10" i="8"/>
  <c r="H11" i="8"/>
  <c r="H7" i="8"/>
  <c r="H25" i="8"/>
  <c r="H22" i="8"/>
  <c r="H8" i="8"/>
  <c r="H23" i="8"/>
  <c r="H24" i="8"/>
  <c r="H14" i="8"/>
  <c r="H16" i="8"/>
  <c r="H20" i="8"/>
  <c r="H17" i="8"/>
  <c r="H21" i="8"/>
  <c r="H15" i="8"/>
  <c r="H12" i="8"/>
  <c r="H19" i="8"/>
  <c r="H13" i="8"/>
  <c r="H26" i="8"/>
  <c r="H9" i="8"/>
  <c r="H18" i="7"/>
  <c r="H10" i="7"/>
  <c r="H11" i="7"/>
  <c r="H7" i="7"/>
  <c r="H25" i="7"/>
  <c r="H22" i="7"/>
  <c r="H8" i="7"/>
  <c r="H23" i="7"/>
  <c r="H24" i="7"/>
  <c r="H14" i="7"/>
  <c r="H16" i="7"/>
  <c r="H20" i="7"/>
  <c r="H17" i="7"/>
  <c r="H21" i="7"/>
  <c r="H15" i="7"/>
  <c r="H12" i="7"/>
  <c r="H19" i="7"/>
  <c r="H13" i="7"/>
  <c r="H26" i="7"/>
  <c r="H9" i="7"/>
  <c r="H18" i="6"/>
  <c r="H10" i="6"/>
  <c r="H11" i="6"/>
  <c r="H7" i="6"/>
  <c r="H25" i="6"/>
  <c r="H22" i="6"/>
  <c r="H8" i="6"/>
  <c r="H23" i="6"/>
  <c r="H24" i="6"/>
  <c r="H14" i="6"/>
  <c r="H16" i="6"/>
  <c r="H20" i="6"/>
  <c r="H17" i="6"/>
  <c r="H21" i="6"/>
  <c r="H15" i="6"/>
  <c r="H12" i="6"/>
  <c r="H19" i="6"/>
  <c r="H13" i="6"/>
  <c r="H26" i="6"/>
  <c r="H9" i="6"/>
  <c r="H18" i="5"/>
  <c r="H10" i="5"/>
  <c r="H11" i="5"/>
  <c r="H7" i="5"/>
  <c r="H25" i="5"/>
  <c r="H22" i="5"/>
  <c r="H8" i="5"/>
  <c r="H23" i="5"/>
  <c r="H24" i="5"/>
  <c r="H14" i="5"/>
  <c r="H16" i="5"/>
  <c r="H20" i="5"/>
  <c r="H17" i="5"/>
  <c r="H21" i="5"/>
  <c r="H15" i="5"/>
  <c r="H12" i="5"/>
  <c r="H19" i="5"/>
  <c r="H13" i="5"/>
  <c r="H26" i="5"/>
  <c r="H9" i="5"/>
  <c r="AL19" i="4"/>
  <c r="AL18" i="4"/>
  <c r="AL7" i="4"/>
  <c r="AL12" i="4"/>
  <c r="AL9" i="4"/>
  <c r="AL22" i="4"/>
  <c r="AL17" i="4"/>
  <c r="AL21" i="4"/>
  <c r="AL11" i="4"/>
  <c r="AL16" i="4"/>
  <c r="AL26" i="4"/>
  <c r="AL20" i="4"/>
  <c r="AL15" i="4"/>
  <c r="AL8" i="4"/>
  <c r="AL25" i="4"/>
  <c r="AL14" i="4"/>
  <c r="AL24" i="4"/>
  <c r="AL10" i="4"/>
  <c r="AL23" i="4"/>
  <c r="AL13" i="4"/>
  <c r="H11" i="4"/>
  <c r="H15" i="4"/>
  <c r="H17" i="4"/>
  <c r="H14" i="4"/>
  <c r="H24" i="4"/>
  <c r="H26" i="4"/>
  <c r="H22" i="4"/>
  <c r="H20" i="4"/>
  <c r="H18" i="4"/>
  <c r="H12" i="4"/>
  <c r="H19" i="4"/>
  <c r="H10" i="4"/>
  <c r="H9" i="4"/>
  <c r="H13" i="4"/>
  <c r="H25" i="4"/>
  <c r="H8" i="4"/>
  <c r="H16" i="4"/>
  <c r="H7" i="4"/>
  <c r="H23" i="4"/>
  <c r="H21" i="4"/>
  <c r="H18" i="3"/>
  <c r="H10" i="3"/>
  <c r="H11" i="3"/>
  <c r="H7" i="3"/>
  <c r="H25" i="3"/>
  <c r="H22" i="3"/>
  <c r="H8" i="3"/>
  <c r="H23" i="3"/>
  <c r="H24" i="3"/>
  <c r="H14" i="3"/>
  <c r="H16" i="3"/>
  <c r="H20" i="3"/>
  <c r="H17" i="3"/>
  <c r="H21" i="3"/>
  <c r="H15" i="3"/>
  <c r="H12" i="3"/>
  <c r="H19" i="3"/>
  <c r="H13" i="3"/>
  <c r="H26" i="3"/>
  <c r="H9" i="3"/>
  <c r="AV16" i="2"/>
  <c r="AU26" i="2"/>
  <c r="AU10" i="2"/>
  <c r="AU17" i="2"/>
  <c r="AU19" i="2"/>
  <c r="AW7" i="2"/>
  <c r="AV8" i="2"/>
  <c r="AW11" i="2"/>
  <c r="AV20" i="2"/>
  <c r="AW22" i="2"/>
  <c r="AV25" i="2"/>
  <c r="AW12" i="2"/>
  <c r="AV14" i="2"/>
  <c r="AW24" i="2"/>
  <c r="AU9" i="2"/>
  <c r="AW21" i="2"/>
  <c r="AW23" i="2"/>
  <c r="AW15" i="2"/>
  <c r="AU13" i="2"/>
  <c r="AU18" i="2"/>
  <c r="H7" i="2"/>
  <c r="H8" i="2"/>
  <c r="H17" i="2"/>
  <c r="H11" i="2"/>
  <c r="H24" i="2"/>
  <c r="H21" i="2"/>
  <c r="H12" i="2"/>
  <c r="H25" i="2"/>
  <c r="H10" i="2"/>
  <c r="H22" i="2"/>
  <c r="H23" i="2"/>
  <c r="H16" i="2"/>
  <c r="H15" i="2"/>
  <c r="H13" i="2"/>
  <c r="H9" i="2"/>
  <c r="H26" i="2"/>
  <c r="H20" i="2"/>
  <c r="H14" i="2"/>
  <c r="H18" i="2"/>
  <c r="H19" i="2"/>
  <c r="AZ15" i="13" l="1"/>
  <c r="BC15" i="13"/>
  <c r="BD15" i="13" s="1"/>
  <c r="AZ25" i="13"/>
  <c r="BC25" i="13"/>
  <c r="BD25" i="13" s="1"/>
  <c r="AZ24" i="13"/>
  <c r="BC24" i="13"/>
  <c r="BD24" i="13" s="1"/>
  <c r="AZ19" i="13"/>
  <c r="BC19" i="13"/>
  <c r="BD19" i="13" s="1"/>
  <c r="AZ21" i="13"/>
  <c r="BC21" i="13"/>
  <c r="BD21" i="13" s="1"/>
  <c r="AZ13" i="13"/>
  <c r="BC13" i="13"/>
  <c r="BD13" i="13" s="1"/>
  <c r="AZ12" i="13"/>
  <c r="BC12" i="13"/>
  <c r="BD12" i="13" s="1"/>
  <c r="AZ18" i="13"/>
  <c r="BC18" i="13"/>
  <c r="BD18" i="13" s="1"/>
  <c r="AZ17" i="13"/>
  <c r="BC17" i="13"/>
  <c r="BD17" i="13" s="1"/>
  <c r="AZ8" i="13"/>
  <c r="BC8" i="13"/>
  <c r="BD8" i="13" s="1"/>
  <c r="AZ10" i="13"/>
  <c r="BC10" i="13"/>
  <c r="BD10" i="13" s="1"/>
  <c r="AZ20" i="13"/>
  <c r="BC20" i="13"/>
  <c r="BD20" i="13" s="1"/>
  <c r="AZ16" i="13"/>
  <c r="BC16" i="13"/>
  <c r="BD16" i="13" s="1"/>
  <c r="AZ14" i="13"/>
  <c r="BC14" i="13"/>
  <c r="BD14" i="13" s="1"/>
  <c r="AZ9" i="13"/>
  <c r="BC9" i="13"/>
  <c r="BD9" i="13" s="1"/>
  <c r="AZ26" i="13"/>
  <c r="BC26" i="13"/>
  <c r="BD26" i="13" s="1"/>
  <c r="AZ7" i="13"/>
  <c r="BC7" i="13"/>
  <c r="BD7" i="13" s="1"/>
  <c r="AZ22" i="13"/>
  <c r="BC22" i="13"/>
  <c r="BD22" i="13" s="1"/>
  <c r="AZ11" i="13"/>
  <c r="BC11" i="13"/>
  <c r="BD11" i="13" s="1"/>
  <c r="AZ23" i="13"/>
  <c r="BC23" i="13"/>
  <c r="BD23" i="13" s="1"/>
  <c r="AV24" i="12"/>
  <c r="AW24" i="12"/>
  <c r="AU24" i="12"/>
  <c r="AW12" i="12"/>
  <c r="AV12" i="12"/>
  <c r="AU12" i="12"/>
  <c r="AV20" i="12"/>
  <c r="AW20" i="12"/>
  <c r="AU20" i="12"/>
  <c r="AU10" i="12"/>
  <c r="AW10" i="12"/>
  <c r="AV10" i="12"/>
  <c r="AU23" i="12"/>
  <c r="AW23" i="12"/>
  <c r="AV23" i="12"/>
  <c r="AV7" i="12"/>
  <c r="AU7" i="12"/>
  <c r="AW7" i="12"/>
  <c r="AU11" i="12"/>
  <c r="AW11" i="12"/>
  <c r="AV11" i="12"/>
  <c r="AW19" i="12"/>
  <c r="AU19" i="12"/>
  <c r="AV19" i="12"/>
  <c r="AU16" i="12"/>
  <c r="AW16" i="12"/>
  <c r="AV16" i="12"/>
  <c r="AW25" i="12"/>
  <c r="AU25" i="12"/>
  <c r="AV25" i="12"/>
  <c r="AW26" i="12"/>
  <c r="AU26" i="12"/>
  <c r="AV26" i="12"/>
  <c r="AW8" i="12"/>
  <c r="AV8" i="12"/>
  <c r="AU8" i="12"/>
  <c r="AX24" i="12"/>
  <c r="AX19" i="12"/>
  <c r="AX14" i="12"/>
  <c r="AX26" i="12"/>
  <c r="AX11" i="12"/>
  <c r="AX20" i="12"/>
  <c r="AX22" i="12"/>
  <c r="AX25" i="12"/>
  <c r="AX17" i="12"/>
  <c r="AX12" i="12"/>
  <c r="AX9" i="12"/>
  <c r="AX15" i="12"/>
  <c r="AX21" i="12"/>
  <c r="AX18" i="12"/>
  <c r="AX8" i="12"/>
  <c r="AX16" i="12"/>
  <c r="AX13" i="12"/>
  <c r="AX10" i="12"/>
  <c r="AX7" i="12"/>
  <c r="AX23" i="12"/>
  <c r="AU14" i="12"/>
  <c r="AW14" i="12"/>
  <c r="AV14" i="12"/>
  <c r="AW9" i="12"/>
  <c r="AU9" i="12"/>
  <c r="AV9" i="12"/>
  <c r="AV18" i="12"/>
  <c r="AU18" i="12"/>
  <c r="AW18" i="12"/>
  <c r="AW13" i="12"/>
  <c r="AU13" i="12"/>
  <c r="AV13" i="12"/>
  <c r="AW15" i="12"/>
  <c r="AU15" i="12"/>
  <c r="AV15" i="12"/>
  <c r="AV17" i="12"/>
  <c r="AW17" i="12"/>
  <c r="AU17" i="12"/>
  <c r="AV22" i="12"/>
  <c r="AW22" i="12"/>
  <c r="AU22" i="12"/>
  <c r="AU21" i="12"/>
  <c r="AW21" i="12"/>
  <c r="AV21" i="12"/>
  <c r="AV24" i="11"/>
  <c r="AW24" i="11"/>
  <c r="AU24" i="11"/>
  <c r="AW25" i="11"/>
  <c r="AU25" i="11"/>
  <c r="AV25" i="11"/>
  <c r="AW12" i="11"/>
  <c r="AV12" i="11"/>
  <c r="AU12" i="11"/>
  <c r="AW9" i="11"/>
  <c r="AU9" i="11"/>
  <c r="AV9" i="11"/>
  <c r="AU10" i="11"/>
  <c r="AW10" i="11"/>
  <c r="AV10" i="11"/>
  <c r="AW13" i="11"/>
  <c r="AU13" i="11"/>
  <c r="AV13" i="11"/>
  <c r="AV7" i="11"/>
  <c r="AU7" i="11"/>
  <c r="AW7" i="11"/>
  <c r="AV17" i="11"/>
  <c r="AW17" i="11"/>
  <c r="AU17" i="11"/>
  <c r="AW19" i="11"/>
  <c r="AU19" i="11"/>
  <c r="AV19" i="11"/>
  <c r="AU16" i="11"/>
  <c r="AW16" i="11"/>
  <c r="AV16" i="11"/>
  <c r="AW26" i="11"/>
  <c r="AU26" i="11"/>
  <c r="AV26" i="11"/>
  <c r="AW8" i="11"/>
  <c r="AV8" i="11"/>
  <c r="AU8" i="11"/>
  <c r="AX24" i="11"/>
  <c r="AX19" i="11"/>
  <c r="AX14" i="11"/>
  <c r="AX26" i="11"/>
  <c r="AX11" i="11"/>
  <c r="AX20" i="11"/>
  <c r="AX22" i="11"/>
  <c r="AX25" i="11"/>
  <c r="AX17" i="11"/>
  <c r="AX12" i="11"/>
  <c r="AX9" i="11"/>
  <c r="AX15" i="11"/>
  <c r="AX21" i="11"/>
  <c r="AX18" i="11"/>
  <c r="AX8" i="11"/>
  <c r="AX16" i="11"/>
  <c r="AX13" i="11"/>
  <c r="AX10" i="11"/>
  <c r="AX7" i="11"/>
  <c r="AX23" i="11"/>
  <c r="AU14" i="11"/>
  <c r="AW14" i="11"/>
  <c r="AV14" i="11"/>
  <c r="AV20" i="11"/>
  <c r="AW20" i="11"/>
  <c r="AU20" i="11"/>
  <c r="AV18" i="11"/>
  <c r="AU18" i="11"/>
  <c r="AW18" i="11"/>
  <c r="AU23" i="11"/>
  <c r="AW23" i="11"/>
  <c r="AV23" i="11"/>
  <c r="AW15" i="11"/>
  <c r="AU15" i="11"/>
  <c r="AV15" i="11"/>
  <c r="AU11" i="11"/>
  <c r="AW11" i="11"/>
  <c r="AV11" i="11"/>
  <c r="AV22" i="11"/>
  <c r="AW22" i="11"/>
  <c r="AU22" i="11"/>
  <c r="AU21" i="11"/>
  <c r="AW21" i="11"/>
  <c r="AV21" i="11"/>
  <c r="AU14" i="10"/>
  <c r="AW14" i="10"/>
  <c r="AV14" i="10"/>
  <c r="AX24" i="10"/>
  <c r="AX19" i="10"/>
  <c r="AX14" i="10"/>
  <c r="AX26" i="10"/>
  <c r="AX11" i="10"/>
  <c r="AX20" i="10"/>
  <c r="AX22" i="10"/>
  <c r="AX25" i="10"/>
  <c r="AX17" i="10"/>
  <c r="AX12" i="10"/>
  <c r="AX9" i="10"/>
  <c r="AX15" i="10"/>
  <c r="AX21" i="10"/>
  <c r="AX18" i="10"/>
  <c r="AX8" i="10"/>
  <c r="AX16" i="10"/>
  <c r="AX13" i="10"/>
  <c r="AX10" i="10"/>
  <c r="AX7" i="10"/>
  <c r="AX23" i="10"/>
  <c r="AU10" i="10"/>
  <c r="AW10" i="10"/>
  <c r="AV10" i="10"/>
  <c r="AV18" i="10"/>
  <c r="AU18" i="10"/>
  <c r="AW18" i="10"/>
  <c r="AW13" i="10"/>
  <c r="AU13" i="10"/>
  <c r="AV13" i="10"/>
  <c r="AW15" i="10"/>
  <c r="AU15" i="10"/>
  <c r="AV15" i="10"/>
  <c r="AV7" i="10"/>
  <c r="AU7" i="10"/>
  <c r="AW7" i="10"/>
  <c r="AV17" i="10"/>
  <c r="AW17" i="10"/>
  <c r="AU17" i="10"/>
  <c r="AU11" i="10"/>
  <c r="AW11" i="10"/>
  <c r="AV11" i="10"/>
  <c r="AV22" i="10"/>
  <c r="AW22" i="10"/>
  <c r="AU22" i="10"/>
  <c r="AU21" i="10"/>
  <c r="AW21" i="10"/>
  <c r="AV21" i="10"/>
  <c r="AW25" i="10"/>
  <c r="AU25" i="10"/>
  <c r="AV25" i="10"/>
  <c r="AW26" i="10"/>
  <c r="AU26" i="10"/>
  <c r="AV26" i="10"/>
  <c r="AW12" i="10"/>
  <c r="AV12" i="10"/>
  <c r="AU12" i="10"/>
  <c r="AW9" i="10"/>
  <c r="AU9" i="10"/>
  <c r="AV9" i="10"/>
  <c r="AV20" i="10"/>
  <c r="AW20" i="10"/>
  <c r="AU20" i="10"/>
  <c r="AU23" i="10"/>
  <c r="AW23" i="10"/>
  <c r="AV23" i="10"/>
  <c r="AW19" i="10"/>
  <c r="AU19" i="10"/>
  <c r="AV19" i="10"/>
  <c r="AU16" i="10"/>
  <c r="AW16" i="10"/>
  <c r="AV16" i="10"/>
  <c r="AV24" i="10"/>
  <c r="AW24" i="10"/>
  <c r="AU24" i="10"/>
  <c r="AW8" i="10"/>
  <c r="AV8" i="10"/>
  <c r="AU8" i="10"/>
  <c r="AW14" i="9"/>
  <c r="AU14" i="9"/>
  <c r="AV14" i="9"/>
  <c r="AU10" i="9"/>
  <c r="AV10" i="9"/>
  <c r="AW10" i="9"/>
  <c r="AV15" i="9"/>
  <c r="AU15" i="9"/>
  <c r="AW15" i="9"/>
  <c r="AV13" i="9"/>
  <c r="AU13" i="9"/>
  <c r="AW13" i="9"/>
  <c r="AW20" i="9"/>
  <c r="AU20" i="9"/>
  <c r="AV20" i="9"/>
  <c r="AV22" i="9"/>
  <c r="AW22" i="9"/>
  <c r="AU22" i="9"/>
  <c r="AV11" i="9"/>
  <c r="AW11" i="9"/>
  <c r="AU11" i="9"/>
  <c r="AW24" i="9"/>
  <c r="AU24" i="9"/>
  <c r="AV24" i="9"/>
  <c r="AV21" i="9"/>
  <c r="AW21" i="9"/>
  <c r="AU21" i="9"/>
  <c r="AW25" i="9"/>
  <c r="AV25" i="9"/>
  <c r="AU25" i="9"/>
  <c r="AX24" i="9"/>
  <c r="AX19" i="9"/>
  <c r="AX14" i="9"/>
  <c r="AX26" i="9"/>
  <c r="AX10" i="9"/>
  <c r="AX7" i="9"/>
  <c r="AX22" i="9"/>
  <c r="AX25" i="9"/>
  <c r="AX20" i="9"/>
  <c r="AX17" i="9"/>
  <c r="AX8" i="9"/>
  <c r="AX11" i="9"/>
  <c r="AX23" i="9"/>
  <c r="AX15" i="9"/>
  <c r="AX13" i="9"/>
  <c r="AX9" i="9"/>
  <c r="AX21" i="9"/>
  <c r="AX18" i="9"/>
  <c r="AX16" i="9"/>
  <c r="AX12" i="9"/>
  <c r="AU9" i="9"/>
  <c r="AV9" i="9"/>
  <c r="AW9" i="9"/>
  <c r="AV19" i="9"/>
  <c r="AW19" i="9"/>
  <c r="AU19" i="9"/>
  <c r="AU12" i="9"/>
  <c r="AV12" i="9"/>
  <c r="AW12" i="9"/>
  <c r="AW16" i="9"/>
  <c r="AV16" i="9"/>
  <c r="AU16" i="9"/>
  <c r="AU18" i="9"/>
  <c r="AV18" i="9"/>
  <c r="AW18" i="9"/>
  <c r="AU26" i="9"/>
  <c r="AV26" i="9"/>
  <c r="AW26" i="9"/>
  <c r="AV23" i="9"/>
  <c r="AW23" i="9"/>
  <c r="AU23" i="9"/>
  <c r="AV17" i="9"/>
  <c r="AU17" i="9"/>
  <c r="AW17" i="9"/>
  <c r="AW8" i="9"/>
  <c r="AU8" i="9"/>
  <c r="AV8" i="9"/>
  <c r="AW7" i="9"/>
  <c r="AU7" i="9"/>
  <c r="AV7" i="9"/>
  <c r="AW25" i="8"/>
  <c r="AU25" i="8"/>
  <c r="AV25" i="8"/>
  <c r="AW26" i="8"/>
  <c r="AU26" i="8"/>
  <c r="AV26" i="8"/>
  <c r="AW8" i="8"/>
  <c r="AV8" i="8"/>
  <c r="AU8" i="8"/>
  <c r="AX24" i="8"/>
  <c r="AX19" i="8"/>
  <c r="AX14" i="8"/>
  <c r="AX26" i="8"/>
  <c r="AX11" i="8"/>
  <c r="AX20" i="8"/>
  <c r="AX22" i="8"/>
  <c r="AX25" i="8"/>
  <c r="AX17" i="8"/>
  <c r="AX12" i="8"/>
  <c r="AX9" i="8"/>
  <c r="AX15" i="8"/>
  <c r="AX21" i="8"/>
  <c r="AX18" i="8"/>
  <c r="AX8" i="8"/>
  <c r="AX16" i="8"/>
  <c r="AX13" i="8"/>
  <c r="AX10" i="8"/>
  <c r="AX7" i="8"/>
  <c r="AX23" i="8"/>
  <c r="AU14" i="8"/>
  <c r="AW14" i="8"/>
  <c r="AV14" i="8"/>
  <c r="AW9" i="8"/>
  <c r="AU9" i="8"/>
  <c r="AV9" i="8"/>
  <c r="AV18" i="8"/>
  <c r="AU18" i="8"/>
  <c r="AW18" i="8"/>
  <c r="AW13" i="8"/>
  <c r="AU13" i="8"/>
  <c r="AV13" i="8"/>
  <c r="AU23" i="8"/>
  <c r="AW23" i="8"/>
  <c r="AV23" i="8"/>
  <c r="AW15" i="8"/>
  <c r="AU15" i="8"/>
  <c r="AV15" i="8"/>
  <c r="AV7" i="8"/>
  <c r="AU7" i="8"/>
  <c r="AW7" i="8"/>
  <c r="AU11" i="8"/>
  <c r="AW11" i="8"/>
  <c r="AV11" i="8"/>
  <c r="AW19" i="8"/>
  <c r="AU19" i="8"/>
  <c r="AV19" i="8"/>
  <c r="AU16" i="8"/>
  <c r="AW16" i="8"/>
  <c r="AV16" i="8"/>
  <c r="AV24" i="8"/>
  <c r="AW24" i="8"/>
  <c r="AU24" i="8"/>
  <c r="AW12" i="8"/>
  <c r="AV12" i="8"/>
  <c r="AU12" i="8"/>
  <c r="AV20" i="8"/>
  <c r="AW20" i="8"/>
  <c r="AU20" i="8"/>
  <c r="AU10" i="8"/>
  <c r="AW10" i="8"/>
  <c r="AV10" i="8"/>
  <c r="AV17" i="8"/>
  <c r="AW17" i="8"/>
  <c r="AU17" i="8"/>
  <c r="AV22" i="8"/>
  <c r="AW22" i="8"/>
  <c r="AU22" i="8"/>
  <c r="AU21" i="8"/>
  <c r="AW21" i="8"/>
  <c r="AV21" i="8"/>
  <c r="AW26" i="7"/>
  <c r="AU26" i="7"/>
  <c r="AV26" i="7"/>
  <c r="AW8" i="7"/>
  <c r="AV8" i="7"/>
  <c r="AU8" i="7"/>
  <c r="AX24" i="7"/>
  <c r="AX19" i="7"/>
  <c r="AX14" i="7"/>
  <c r="AX26" i="7"/>
  <c r="AX11" i="7"/>
  <c r="AX20" i="7"/>
  <c r="AX22" i="7"/>
  <c r="AX25" i="7"/>
  <c r="AX17" i="7"/>
  <c r="AX12" i="7"/>
  <c r="AX9" i="7"/>
  <c r="AX15" i="7"/>
  <c r="AX21" i="7"/>
  <c r="AX18" i="7"/>
  <c r="AX8" i="7"/>
  <c r="AX16" i="7"/>
  <c r="AX13" i="7"/>
  <c r="AX10" i="7"/>
  <c r="AX7" i="7"/>
  <c r="AX23" i="7"/>
  <c r="AU14" i="7"/>
  <c r="AW14" i="7"/>
  <c r="AV14" i="7"/>
  <c r="AV20" i="7"/>
  <c r="AW20" i="7"/>
  <c r="AU20" i="7"/>
  <c r="AV18" i="7"/>
  <c r="AU18" i="7"/>
  <c r="AW18" i="7"/>
  <c r="AW13" i="7"/>
  <c r="AU13" i="7"/>
  <c r="AV13" i="7"/>
  <c r="AU23" i="7"/>
  <c r="AW23" i="7"/>
  <c r="AV23" i="7"/>
  <c r="AW15" i="7"/>
  <c r="AU15" i="7"/>
  <c r="AV15" i="7"/>
  <c r="AV7" i="7"/>
  <c r="AU7" i="7"/>
  <c r="AW7" i="7"/>
  <c r="AU11" i="7"/>
  <c r="AW11" i="7"/>
  <c r="AV11" i="7"/>
  <c r="AW19" i="7"/>
  <c r="AU19" i="7"/>
  <c r="AV19" i="7"/>
  <c r="AU16" i="7"/>
  <c r="AW16" i="7"/>
  <c r="AV16" i="7"/>
  <c r="AV24" i="7"/>
  <c r="AW24" i="7"/>
  <c r="AU24" i="7"/>
  <c r="AW25" i="7"/>
  <c r="AU25" i="7"/>
  <c r="AV25" i="7"/>
  <c r="AW12" i="7"/>
  <c r="AV12" i="7"/>
  <c r="AU12" i="7"/>
  <c r="AW9" i="7"/>
  <c r="AU9" i="7"/>
  <c r="AV9" i="7"/>
  <c r="AU10" i="7"/>
  <c r="AW10" i="7"/>
  <c r="AV10" i="7"/>
  <c r="AV17" i="7"/>
  <c r="AW17" i="7"/>
  <c r="AU17" i="7"/>
  <c r="AV22" i="7"/>
  <c r="AW22" i="7"/>
  <c r="AU22" i="7"/>
  <c r="AU21" i="7"/>
  <c r="AW21" i="7"/>
  <c r="AV21" i="7"/>
  <c r="AW12" i="6"/>
  <c r="AV12" i="6"/>
  <c r="AU12" i="6"/>
  <c r="AU14" i="6"/>
  <c r="AW14" i="6"/>
  <c r="AV14" i="6"/>
  <c r="AX24" i="6"/>
  <c r="AX19" i="6"/>
  <c r="AX14" i="6"/>
  <c r="AX26" i="6"/>
  <c r="AX11" i="6"/>
  <c r="AX20" i="6"/>
  <c r="AX22" i="6"/>
  <c r="AX25" i="6"/>
  <c r="AX17" i="6"/>
  <c r="AX12" i="6"/>
  <c r="AX9" i="6"/>
  <c r="AX15" i="6"/>
  <c r="AX21" i="6"/>
  <c r="AX18" i="6"/>
  <c r="AX8" i="6"/>
  <c r="AX16" i="6"/>
  <c r="AX13" i="6"/>
  <c r="AX10" i="6"/>
  <c r="AX7" i="6"/>
  <c r="AX23" i="6"/>
  <c r="AW9" i="6"/>
  <c r="AU9" i="6"/>
  <c r="AV9" i="6"/>
  <c r="AV20" i="6"/>
  <c r="AW20" i="6"/>
  <c r="AU20" i="6"/>
  <c r="AU10" i="6"/>
  <c r="AW10" i="6"/>
  <c r="AV10" i="6"/>
  <c r="AV18" i="6"/>
  <c r="AU18" i="6"/>
  <c r="AW18" i="6"/>
  <c r="AW13" i="6"/>
  <c r="AU13" i="6"/>
  <c r="AV13" i="6"/>
  <c r="AU23" i="6"/>
  <c r="AW23" i="6"/>
  <c r="AV23" i="6"/>
  <c r="AW15" i="6"/>
  <c r="AU15" i="6"/>
  <c r="AV15" i="6"/>
  <c r="AV7" i="6"/>
  <c r="AU7" i="6"/>
  <c r="AW7" i="6"/>
  <c r="AV17" i="6"/>
  <c r="AW17" i="6"/>
  <c r="AU17" i="6"/>
  <c r="AU11" i="6"/>
  <c r="AW11" i="6"/>
  <c r="AV11" i="6"/>
  <c r="AW19" i="6"/>
  <c r="AU19" i="6"/>
  <c r="AV19" i="6"/>
  <c r="AU16" i="6"/>
  <c r="AW16" i="6"/>
  <c r="AV16" i="6"/>
  <c r="AV22" i="6"/>
  <c r="AW22" i="6"/>
  <c r="AU22" i="6"/>
  <c r="AU21" i="6"/>
  <c r="AW21" i="6"/>
  <c r="AV21" i="6"/>
  <c r="AV24" i="6"/>
  <c r="AW24" i="6"/>
  <c r="AU24" i="6"/>
  <c r="AW25" i="6"/>
  <c r="AU25" i="6"/>
  <c r="AV25" i="6"/>
  <c r="AW26" i="6"/>
  <c r="AU26" i="6"/>
  <c r="AV26" i="6"/>
  <c r="AW8" i="6"/>
  <c r="AV8" i="6"/>
  <c r="AU8" i="6"/>
  <c r="AV24" i="5"/>
  <c r="AW24" i="5"/>
  <c r="AU24" i="5"/>
  <c r="AW25" i="5"/>
  <c r="AU25" i="5"/>
  <c r="AV25" i="5"/>
  <c r="AW26" i="5"/>
  <c r="AU26" i="5"/>
  <c r="AV26" i="5"/>
  <c r="AW8" i="5"/>
  <c r="AV8" i="5"/>
  <c r="AU8" i="5"/>
  <c r="AU14" i="5"/>
  <c r="AW14" i="5"/>
  <c r="AV14" i="5"/>
  <c r="AW9" i="5"/>
  <c r="AU9" i="5"/>
  <c r="AV9" i="5"/>
  <c r="AW15" i="5"/>
  <c r="AU15" i="5"/>
  <c r="AV15" i="5"/>
  <c r="AV7" i="5"/>
  <c r="AU7" i="5"/>
  <c r="AW7" i="5"/>
  <c r="AU11" i="5"/>
  <c r="AW11" i="5"/>
  <c r="AV11" i="5"/>
  <c r="AW19" i="5"/>
  <c r="AU19" i="5"/>
  <c r="AV19" i="5"/>
  <c r="AU16" i="5"/>
  <c r="AW16" i="5"/>
  <c r="AV16" i="5"/>
  <c r="AX24" i="5"/>
  <c r="AX19" i="5"/>
  <c r="AX14" i="5"/>
  <c r="AX26" i="5"/>
  <c r="AX11" i="5"/>
  <c r="AX20" i="5"/>
  <c r="AX22" i="5"/>
  <c r="AX25" i="5"/>
  <c r="AX17" i="5"/>
  <c r="AX12" i="5"/>
  <c r="AX9" i="5"/>
  <c r="AX15" i="5"/>
  <c r="AX21" i="5"/>
  <c r="AX18" i="5"/>
  <c r="AX8" i="5"/>
  <c r="AX16" i="5"/>
  <c r="AX13" i="5"/>
  <c r="AX10" i="5"/>
  <c r="AX7" i="5"/>
  <c r="AX23" i="5"/>
  <c r="AW12" i="5"/>
  <c r="AV12" i="5"/>
  <c r="AU12" i="5"/>
  <c r="AV20" i="5"/>
  <c r="AW20" i="5"/>
  <c r="AU20" i="5"/>
  <c r="AU10" i="5"/>
  <c r="AW10" i="5"/>
  <c r="AV10" i="5"/>
  <c r="AV18" i="5"/>
  <c r="AU18" i="5"/>
  <c r="AW18" i="5"/>
  <c r="AW13" i="5"/>
  <c r="AU13" i="5"/>
  <c r="AV13" i="5"/>
  <c r="AU23" i="5"/>
  <c r="AW23" i="5"/>
  <c r="AV23" i="5"/>
  <c r="AV17" i="5"/>
  <c r="AW17" i="5"/>
  <c r="AU17" i="5"/>
  <c r="AV22" i="5"/>
  <c r="AW22" i="5"/>
  <c r="AU22" i="5"/>
  <c r="AU21" i="5"/>
  <c r="AW21" i="5"/>
  <c r="AV21" i="5"/>
  <c r="AU26" i="4"/>
  <c r="AW26" i="4"/>
  <c r="AV26" i="4"/>
  <c r="AV16" i="4"/>
  <c r="AW16" i="4"/>
  <c r="AU16" i="4"/>
  <c r="AW11" i="4"/>
  <c r="AU11" i="4"/>
  <c r="AV11" i="4"/>
  <c r="AV17" i="4"/>
  <c r="AW17" i="4"/>
  <c r="AU17" i="4"/>
  <c r="AW14" i="4"/>
  <c r="AV14" i="4"/>
  <c r="AU14" i="4"/>
  <c r="AW22" i="4"/>
  <c r="AV22" i="4"/>
  <c r="AU22" i="4"/>
  <c r="AW9" i="4"/>
  <c r="AU9" i="4"/>
  <c r="AV9" i="4"/>
  <c r="AW12" i="4"/>
  <c r="AV12" i="4"/>
  <c r="AU12" i="4"/>
  <c r="AV23" i="4"/>
  <c r="AU23" i="4"/>
  <c r="AW23" i="4"/>
  <c r="AV10" i="4"/>
  <c r="AU10" i="4"/>
  <c r="AW10" i="4"/>
  <c r="AU21" i="4"/>
  <c r="AW21" i="4"/>
  <c r="AV21" i="4"/>
  <c r="AU7" i="4"/>
  <c r="AV7" i="4"/>
  <c r="AW7" i="4"/>
  <c r="AU25" i="4"/>
  <c r="AV25" i="4"/>
  <c r="AW25" i="4"/>
  <c r="AU18" i="4"/>
  <c r="AV18" i="4"/>
  <c r="AW18" i="4"/>
  <c r="AX24" i="4"/>
  <c r="AX23" i="4"/>
  <c r="AX12" i="4"/>
  <c r="AX11" i="4"/>
  <c r="AX26" i="4"/>
  <c r="AX21" i="4"/>
  <c r="AX15" i="4"/>
  <c r="AX25" i="4"/>
  <c r="AX20" i="4"/>
  <c r="AX14" i="4"/>
  <c r="AX8" i="4"/>
  <c r="AX10" i="4"/>
  <c r="AX19" i="4"/>
  <c r="AX13" i="4"/>
  <c r="AX18" i="4"/>
  <c r="AX16" i="4"/>
  <c r="AX22" i="4"/>
  <c r="AX7" i="4"/>
  <c r="AX17" i="4"/>
  <c r="AX9" i="4"/>
  <c r="AV13" i="4"/>
  <c r="AW13" i="4"/>
  <c r="AU13" i="4"/>
  <c r="AV24" i="4"/>
  <c r="AW24" i="4"/>
  <c r="AU24" i="4"/>
  <c r="AU20" i="4"/>
  <c r="AV20" i="4"/>
  <c r="AW20" i="4"/>
  <c r="AV8" i="4"/>
  <c r="AW8" i="4"/>
  <c r="AU8" i="4"/>
  <c r="AU15" i="4"/>
  <c r="AW15" i="4"/>
  <c r="AV15" i="4"/>
  <c r="AW19" i="4"/>
  <c r="AU19" i="4"/>
  <c r="AV19" i="4"/>
  <c r="AW12" i="3"/>
  <c r="AV12" i="3"/>
  <c r="AU12" i="3"/>
  <c r="AV20" i="3"/>
  <c r="AW20" i="3"/>
  <c r="AU20" i="3"/>
  <c r="AU10" i="3"/>
  <c r="AW10" i="3"/>
  <c r="AV10" i="3"/>
  <c r="AU23" i="3"/>
  <c r="AW23" i="3"/>
  <c r="AV23" i="3"/>
  <c r="AW15" i="3"/>
  <c r="AU15" i="3"/>
  <c r="AV15" i="3"/>
  <c r="AV7" i="3"/>
  <c r="AU7" i="3"/>
  <c r="AW7" i="3"/>
  <c r="AV17" i="3"/>
  <c r="AW17" i="3"/>
  <c r="AU17" i="3"/>
  <c r="AU11" i="3"/>
  <c r="AW11" i="3"/>
  <c r="AV11" i="3"/>
  <c r="AV22" i="3"/>
  <c r="AW22" i="3"/>
  <c r="AU22" i="3"/>
  <c r="AU21" i="3"/>
  <c r="AW21" i="3"/>
  <c r="AV21" i="3"/>
  <c r="AU14" i="3"/>
  <c r="AW14" i="3"/>
  <c r="AV14" i="3"/>
  <c r="AX24" i="3"/>
  <c r="AX19" i="3"/>
  <c r="AX14" i="3"/>
  <c r="AX26" i="3"/>
  <c r="AX11" i="3"/>
  <c r="AX20" i="3"/>
  <c r="AX22" i="3"/>
  <c r="AX25" i="3"/>
  <c r="AX17" i="3"/>
  <c r="AX12" i="3"/>
  <c r="AX9" i="3"/>
  <c r="AX15" i="3"/>
  <c r="AX21" i="3"/>
  <c r="AX18" i="3"/>
  <c r="AX8" i="3"/>
  <c r="AX16" i="3"/>
  <c r="AX13" i="3"/>
  <c r="AX10" i="3"/>
  <c r="AX7" i="3"/>
  <c r="AX23" i="3"/>
  <c r="AW9" i="3"/>
  <c r="AU9" i="3"/>
  <c r="AV9" i="3"/>
  <c r="AV18" i="3"/>
  <c r="AU18" i="3"/>
  <c r="AW18" i="3"/>
  <c r="AW13" i="3"/>
  <c r="AU13" i="3"/>
  <c r="AV13" i="3"/>
  <c r="AW19" i="3"/>
  <c r="AU19" i="3"/>
  <c r="AV19" i="3"/>
  <c r="AU16" i="3"/>
  <c r="AW16" i="3"/>
  <c r="AV16" i="3"/>
  <c r="AV24" i="3"/>
  <c r="AW24" i="3"/>
  <c r="AU24" i="3"/>
  <c r="AW25" i="3"/>
  <c r="AU25" i="3"/>
  <c r="AV25" i="3"/>
  <c r="AW26" i="3"/>
  <c r="AU26" i="3"/>
  <c r="AV26" i="3"/>
  <c r="AW8" i="3"/>
  <c r="AV8" i="3"/>
  <c r="AU8" i="3"/>
  <c r="AU23" i="2"/>
  <c r="AU12" i="2"/>
  <c r="AV12" i="2"/>
  <c r="AZ20" i="2"/>
  <c r="BC20" i="2"/>
  <c r="BD20" i="2" s="1"/>
  <c r="AZ25" i="2"/>
  <c r="BC25" i="2"/>
  <c r="BD25" i="2" s="1"/>
  <c r="AU8" i="2"/>
  <c r="AZ16" i="2"/>
  <c r="BC16" i="2"/>
  <c r="BD16" i="2" s="1"/>
  <c r="AU20" i="2"/>
  <c r="AW20" i="2"/>
  <c r="AV23" i="2"/>
  <c r="AZ14" i="2"/>
  <c r="BC14" i="2"/>
  <c r="BD14" i="2" s="1"/>
  <c r="AZ8" i="2"/>
  <c r="BC8" i="2"/>
  <c r="BD8" i="2" s="1"/>
  <c r="AZ12" i="2"/>
  <c r="BC12" i="2"/>
  <c r="BD12" i="2" s="1"/>
  <c r="AW8" i="2"/>
  <c r="AU15" i="2"/>
  <c r="AV18" i="2"/>
  <c r="AW18" i="2"/>
  <c r="AV11" i="2"/>
  <c r="AU21" i="2"/>
  <c r="AU7" i="2"/>
  <c r="AV21" i="2"/>
  <c r="AV22" i="2"/>
  <c r="AV7" i="2"/>
  <c r="AU11" i="2"/>
  <c r="AU22" i="2"/>
  <c r="AX15" i="2"/>
  <c r="AX16" i="2"/>
  <c r="AX17" i="2"/>
  <c r="AX18" i="2"/>
  <c r="AX7" i="2"/>
  <c r="AX19" i="2"/>
  <c r="AX8" i="2"/>
  <c r="AX20" i="2"/>
  <c r="AX9" i="2"/>
  <c r="AX21" i="2"/>
  <c r="AX10" i="2"/>
  <c r="AX22" i="2"/>
  <c r="AX11" i="2"/>
  <c r="AX23" i="2"/>
  <c r="AX12" i="2"/>
  <c r="AX24" i="2"/>
  <c r="AX13" i="2"/>
  <c r="AX25" i="2"/>
  <c r="AX14" i="2"/>
  <c r="AX26" i="2"/>
  <c r="AV10" i="2"/>
  <c r="AW10" i="2"/>
  <c r="AV19" i="2"/>
  <c r="AV13" i="2"/>
  <c r="AW19" i="2"/>
  <c r="AW25" i="2"/>
  <c r="AW17" i="2"/>
  <c r="AW16" i="2"/>
  <c r="AW14" i="2"/>
  <c r="AW9" i="2"/>
  <c r="AV15" i="2"/>
  <c r="AV26" i="2"/>
  <c r="AV24" i="2"/>
  <c r="AU24" i="2"/>
  <c r="AU25" i="2"/>
  <c r="AV17" i="2"/>
  <c r="AU16" i="2"/>
  <c r="AU14" i="2"/>
  <c r="AV9" i="2"/>
  <c r="AW26" i="2"/>
  <c r="AW13" i="2"/>
  <c r="AZ19" i="12" l="1"/>
  <c r="BC19" i="12"/>
  <c r="BD19" i="12" s="1"/>
  <c r="AZ14" i="12"/>
  <c r="BC14" i="12"/>
  <c r="BD14" i="12" s="1"/>
  <c r="AZ26" i="12"/>
  <c r="BC26" i="12"/>
  <c r="BD26" i="12" s="1"/>
  <c r="AZ21" i="12"/>
  <c r="BC21" i="12"/>
  <c r="BD21" i="12" s="1"/>
  <c r="AZ25" i="12"/>
  <c r="BC25" i="12"/>
  <c r="BD25" i="12" s="1"/>
  <c r="BC12" i="12"/>
  <c r="BD12" i="12" s="1"/>
  <c r="AZ12" i="12"/>
  <c r="AZ22" i="12"/>
  <c r="BC22" i="12"/>
  <c r="BD22" i="12" s="1"/>
  <c r="AZ16" i="12"/>
  <c r="BC16" i="12"/>
  <c r="BD16" i="12" s="1"/>
  <c r="AZ23" i="12"/>
  <c r="BC23" i="12"/>
  <c r="BD23" i="12" s="1"/>
  <c r="AZ9" i="12"/>
  <c r="BC9" i="12"/>
  <c r="BD9" i="12" s="1"/>
  <c r="AZ17" i="12"/>
  <c r="BC17" i="12"/>
  <c r="BD17" i="12" s="1"/>
  <c r="AZ10" i="12"/>
  <c r="BC10" i="12"/>
  <c r="BD10" i="12" s="1"/>
  <c r="AZ15" i="12"/>
  <c r="BC15" i="12"/>
  <c r="BD15" i="12" s="1"/>
  <c r="AZ8" i="12"/>
  <c r="BC8" i="12"/>
  <c r="BD8" i="12" s="1"/>
  <c r="AZ11" i="12"/>
  <c r="BC11" i="12"/>
  <c r="BD11" i="12" s="1"/>
  <c r="AZ13" i="12"/>
  <c r="BC13" i="12"/>
  <c r="BD13" i="12" s="1"/>
  <c r="AZ20" i="12"/>
  <c r="BC20" i="12"/>
  <c r="BD20" i="12" s="1"/>
  <c r="BC7" i="12"/>
  <c r="BD7" i="12" s="1"/>
  <c r="AZ7" i="12"/>
  <c r="AZ18" i="12"/>
  <c r="BC18" i="12"/>
  <c r="BD18" i="12" s="1"/>
  <c r="AZ24" i="12"/>
  <c r="BC24" i="12"/>
  <c r="BD24" i="12" s="1"/>
  <c r="AZ14" i="11"/>
  <c r="BC14" i="11"/>
  <c r="BD14" i="11" s="1"/>
  <c r="AZ8" i="11"/>
  <c r="BC8" i="11"/>
  <c r="BD8" i="11" s="1"/>
  <c r="AZ17" i="11"/>
  <c r="BC17" i="11"/>
  <c r="BD17" i="11" s="1"/>
  <c r="AZ26" i="11"/>
  <c r="BC26" i="11"/>
  <c r="BD26" i="11" s="1"/>
  <c r="AZ23" i="11"/>
  <c r="BC23" i="11"/>
  <c r="BD23" i="11" s="1"/>
  <c r="BC12" i="11"/>
  <c r="BD12" i="11" s="1"/>
  <c r="AZ12" i="11"/>
  <c r="BC7" i="11"/>
  <c r="BD7" i="11" s="1"/>
  <c r="AZ7" i="11"/>
  <c r="AZ25" i="11"/>
  <c r="BC25" i="11"/>
  <c r="BD25" i="11" s="1"/>
  <c r="AZ22" i="11"/>
  <c r="BC22" i="11"/>
  <c r="BD22" i="11" s="1"/>
  <c r="AZ19" i="11"/>
  <c r="BC19" i="11"/>
  <c r="BD19" i="11" s="1"/>
  <c r="AZ11" i="11"/>
  <c r="BC11" i="11"/>
  <c r="BD11" i="11" s="1"/>
  <c r="AZ20" i="11"/>
  <c r="BC20" i="11"/>
  <c r="BD20" i="11" s="1"/>
  <c r="AZ9" i="11"/>
  <c r="BC9" i="11"/>
  <c r="BD9" i="11" s="1"/>
  <c r="AZ15" i="11"/>
  <c r="BC15" i="11"/>
  <c r="BD15" i="11" s="1"/>
  <c r="AZ21" i="11"/>
  <c r="BC21" i="11"/>
  <c r="BD21" i="11" s="1"/>
  <c r="AZ16" i="11"/>
  <c r="BC16" i="11"/>
  <c r="BD16" i="11" s="1"/>
  <c r="AZ13" i="11"/>
  <c r="BC13" i="11"/>
  <c r="BD13" i="11" s="1"/>
  <c r="AZ18" i="11"/>
  <c r="BC18" i="11"/>
  <c r="BD18" i="11" s="1"/>
  <c r="AZ10" i="11"/>
  <c r="BC10" i="11"/>
  <c r="BD10" i="11" s="1"/>
  <c r="AZ24" i="11"/>
  <c r="BC24" i="11"/>
  <c r="BD24" i="11" s="1"/>
  <c r="BC7" i="10"/>
  <c r="BD7" i="10" s="1"/>
  <c r="AZ7" i="10"/>
  <c r="AZ19" i="10"/>
  <c r="BC19" i="10"/>
  <c r="BD19" i="10" s="1"/>
  <c r="AZ23" i="10"/>
  <c r="BC23" i="10"/>
  <c r="BD23" i="10" s="1"/>
  <c r="AZ11" i="10"/>
  <c r="BC11" i="10"/>
  <c r="BD11" i="10" s="1"/>
  <c r="AZ8" i="10"/>
  <c r="BC8" i="10"/>
  <c r="BD8" i="10" s="1"/>
  <c r="AZ25" i="10"/>
  <c r="BC25" i="10"/>
  <c r="BD25" i="10" s="1"/>
  <c r="AZ24" i="10"/>
  <c r="BC24" i="10"/>
  <c r="BD24" i="10" s="1"/>
  <c r="AZ18" i="10"/>
  <c r="BC18" i="10"/>
  <c r="BD18" i="10" s="1"/>
  <c r="AZ16" i="10"/>
  <c r="BC16" i="10"/>
  <c r="BD16" i="10" s="1"/>
  <c r="AZ9" i="10"/>
  <c r="BC9" i="10"/>
  <c r="BD9" i="10" s="1"/>
  <c r="AZ21" i="10"/>
  <c r="BC21" i="10"/>
  <c r="BD21" i="10" s="1"/>
  <c r="AZ10" i="10"/>
  <c r="BC10" i="10"/>
  <c r="BD10" i="10" s="1"/>
  <c r="AZ15" i="10"/>
  <c r="BC15" i="10"/>
  <c r="BD15" i="10" s="1"/>
  <c r="BC12" i="10"/>
  <c r="BD12" i="10" s="1"/>
  <c r="AZ12" i="10"/>
  <c r="AZ22" i="10"/>
  <c r="BC22" i="10"/>
  <c r="BD22" i="10" s="1"/>
  <c r="AZ26" i="10"/>
  <c r="BC26" i="10"/>
  <c r="BD26" i="10" s="1"/>
  <c r="AZ13" i="10"/>
  <c r="BC13" i="10"/>
  <c r="BD13" i="10" s="1"/>
  <c r="AZ20" i="10"/>
  <c r="BC20" i="10"/>
  <c r="BD20" i="10" s="1"/>
  <c r="AZ17" i="10"/>
  <c r="BC17" i="10"/>
  <c r="BD17" i="10" s="1"/>
  <c r="AZ14" i="10"/>
  <c r="BC14" i="10"/>
  <c r="BD14" i="10" s="1"/>
  <c r="AZ12" i="9"/>
  <c r="BC12" i="9"/>
  <c r="BD12" i="9" s="1"/>
  <c r="BC13" i="9"/>
  <c r="BD13" i="9" s="1"/>
  <c r="AZ13" i="9"/>
  <c r="AZ23" i="9"/>
  <c r="BC23" i="9"/>
  <c r="BD23" i="9" s="1"/>
  <c r="BC7" i="9"/>
  <c r="BD7" i="9" s="1"/>
  <c r="AZ7" i="9"/>
  <c r="AZ11" i="9"/>
  <c r="BC11" i="9"/>
  <c r="BD11" i="9" s="1"/>
  <c r="AZ19" i="9"/>
  <c r="BC19" i="9"/>
  <c r="BD19" i="9" s="1"/>
  <c r="AZ18" i="9"/>
  <c r="BC18" i="9"/>
  <c r="BD18" i="9" s="1"/>
  <c r="AZ9" i="9"/>
  <c r="BC9" i="9"/>
  <c r="BD9" i="9" s="1"/>
  <c r="AZ20" i="9"/>
  <c r="BC20" i="9"/>
  <c r="BD20" i="9" s="1"/>
  <c r="AZ14" i="9"/>
  <c r="BC14" i="9"/>
  <c r="BD14" i="9" s="1"/>
  <c r="AZ24" i="9"/>
  <c r="BC24" i="9"/>
  <c r="BD24" i="9" s="1"/>
  <c r="AZ15" i="9"/>
  <c r="BC15" i="9"/>
  <c r="BD15" i="9" s="1"/>
  <c r="AZ25" i="9"/>
  <c r="BC25" i="9"/>
  <c r="BD25" i="9" s="1"/>
  <c r="AZ17" i="9"/>
  <c r="BC17" i="9"/>
  <c r="BD17" i="9" s="1"/>
  <c r="AZ26" i="9"/>
  <c r="BC26" i="9"/>
  <c r="BD26" i="9" s="1"/>
  <c r="AZ8" i="9"/>
  <c r="BC8" i="9"/>
  <c r="BD8" i="9" s="1"/>
  <c r="AZ10" i="9"/>
  <c r="BC10" i="9"/>
  <c r="BD10" i="9" s="1"/>
  <c r="AZ22" i="9"/>
  <c r="BC22" i="9"/>
  <c r="BD22" i="9" s="1"/>
  <c r="BC16" i="9"/>
  <c r="BD16" i="9" s="1"/>
  <c r="AZ16" i="9"/>
  <c r="AZ21" i="9"/>
  <c r="BC21" i="9"/>
  <c r="BD21" i="9" s="1"/>
  <c r="AZ24" i="8"/>
  <c r="BC24" i="8"/>
  <c r="BD24" i="8" s="1"/>
  <c r="AZ18" i="8"/>
  <c r="BC18" i="8"/>
  <c r="BD18" i="8" s="1"/>
  <c r="AZ10" i="8"/>
  <c r="BC10" i="8"/>
  <c r="BD10" i="8" s="1"/>
  <c r="AZ15" i="8"/>
  <c r="BC15" i="8"/>
  <c r="BD15" i="8" s="1"/>
  <c r="AZ21" i="8"/>
  <c r="BC21" i="8"/>
  <c r="BD21" i="8" s="1"/>
  <c r="AZ19" i="8"/>
  <c r="BC19" i="8"/>
  <c r="BD19" i="8" s="1"/>
  <c r="AZ14" i="8"/>
  <c r="BC14" i="8"/>
  <c r="BD14" i="8" s="1"/>
  <c r="AZ11" i="8"/>
  <c r="BC11" i="8"/>
  <c r="BD11" i="8" s="1"/>
  <c r="BC12" i="8"/>
  <c r="BD12" i="8" s="1"/>
  <c r="AZ12" i="8"/>
  <c r="AZ22" i="8"/>
  <c r="BC22" i="8"/>
  <c r="BD22" i="8" s="1"/>
  <c r="AZ25" i="8"/>
  <c r="BC25" i="8"/>
  <c r="BD25" i="8" s="1"/>
  <c r="AZ17" i="8"/>
  <c r="BC17" i="8"/>
  <c r="BD17" i="8" s="1"/>
  <c r="BC7" i="8"/>
  <c r="BD7" i="8" s="1"/>
  <c r="AZ7" i="8"/>
  <c r="AZ16" i="8"/>
  <c r="BC16" i="8"/>
  <c r="BD16" i="8" s="1"/>
  <c r="AZ9" i="8"/>
  <c r="BC9" i="8"/>
  <c r="BD9" i="8" s="1"/>
  <c r="AZ23" i="8"/>
  <c r="BC23" i="8"/>
  <c r="BD23" i="8" s="1"/>
  <c r="AZ8" i="8"/>
  <c r="BC8" i="8"/>
  <c r="BD8" i="8" s="1"/>
  <c r="AZ20" i="8"/>
  <c r="BC20" i="8"/>
  <c r="BD20" i="8" s="1"/>
  <c r="AZ26" i="8"/>
  <c r="BC26" i="8"/>
  <c r="BD26" i="8" s="1"/>
  <c r="AZ13" i="8"/>
  <c r="BC13" i="8"/>
  <c r="BD13" i="8" s="1"/>
  <c r="AZ17" i="7"/>
  <c r="BC17" i="7"/>
  <c r="BD17" i="7" s="1"/>
  <c r="AZ10" i="7"/>
  <c r="BC10" i="7"/>
  <c r="BD10" i="7" s="1"/>
  <c r="BC7" i="7"/>
  <c r="BD7" i="7" s="1"/>
  <c r="AZ7" i="7"/>
  <c r="AZ21" i="7"/>
  <c r="BC21" i="7"/>
  <c r="BD21" i="7" s="1"/>
  <c r="AZ16" i="7"/>
  <c r="BC16" i="7"/>
  <c r="BD16" i="7" s="1"/>
  <c r="AZ19" i="7"/>
  <c r="BC19" i="7"/>
  <c r="BD19" i="7" s="1"/>
  <c r="AZ14" i="7"/>
  <c r="BC14" i="7"/>
  <c r="BD14" i="7" s="1"/>
  <c r="BC12" i="7"/>
  <c r="BD12" i="7" s="1"/>
  <c r="AZ12" i="7"/>
  <c r="AZ26" i="7"/>
  <c r="BC26" i="7"/>
  <c r="BD26" i="7" s="1"/>
  <c r="AZ25" i="7"/>
  <c r="BC25" i="7"/>
  <c r="BD25" i="7" s="1"/>
  <c r="AZ11" i="7"/>
  <c r="BC11" i="7"/>
  <c r="BD11" i="7" s="1"/>
  <c r="AZ13" i="7"/>
  <c r="BC13" i="7"/>
  <c r="BD13" i="7" s="1"/>
  <c r="AZ24" i="7"/>
  <c r="BC24" i="7"/>
  <c r="BD24" i="7" s="1"/>
  <c r="AZ18" i="7"/>
  <c r="BC18" i="7"/>
  <c r="BD18" i="7" s="1"/>
  <c r="AZ9" i="7"/>
  <c r="BC9" i="7"/>
  <c r="BD9" i="7" s="1"/>
  <c r="AZ15" i="7"/>
  <c r="BC15" i="7"/>
  <c r="BD15" i="7" s="1"/>
  <c r="AZ20" i="7"/>
  <c r="BC20" i="7"/>
  <c r="BD20" i="7" s="1"/>
  <c r="AZ23" i="7"/>
  <c r="BC23" i="7"/>
  <c r="BD23" i="7" s="1"/>
  <c r="AZ8" i="7"/>
  <c r="BC8" i="7"/>
  <c r="BD8" i="7" s="1"/>
  <c r="AZ22" i="7"/>
  <c r="BC22" i="7"/>
  <c r="BD22" i="7" s="1"/>
  <c r="BC7" i="6"/>
  <c r="BD7" i="6" s="1"/>
  <c r="AZ7" i="6"/>
  <c r="AZ18" i="6"/>
  <c r="BC18" i="6"/>
  <c r="BD18" i="6" s="1"/>
  <c r="AZ19" i="6"/>
  <c r="BC19" i="6"/>
  <c r="BD19" i="6" s="1"/>
  <c r="AZ15" i="6"/>
  <c r="BC15" i="6"/>
  <c r="BD15" i="6" s="1"/>
  <c r="AZ10" i="6"/>
  <c r="BC10" i="6"/>
  <c r="BD10" i="6" s="1"/>
  <c r="AZ24" i="6"/>
  <c r="BC24" i="6"/>
  <c r="BD24" i="6" s="1"/>
  <c r="AZ21" i="6"/>
  <c r="BC21" i="6"/>
  <c r="BD21" i="6" s="1"/>
  <c r="AZ11" i="6"/>
  <c r="BC11" i="6"/>
  <c r="BD11" i="6" s="1"/>
  <c r="AZ23" i="6"/>
  <c r="BC23" i="6"/>
  <c r="BD23" i="6" s="1"/>
  <c r="AZ8" i="6"/>
  <c r="BC8" i="6"/>
  <c r="BD8" i="6" s="1"/>
  <c r="AZ20" i="6"/>
  <c r="BC20" i="6"/>
  <c r="BD20" i="6" s="1"/>
  <c r="AZ14" i="6"/>
  <c r="BC14" i="6"/>
  <c r="BD14" i="6" s="1"/>
  <c r="AZ26" i="6"/>
  <c r="BC26" i="6"/>
  <c r="BD26" i="6" s="1"/>
  <c r="AZ13" i="6"/>
  <c r="BC13" i="6"/>
  <c r="BD13" i="6" s="1"/>
  <c r="AZ9" i="6"/>
  <c r="BC9" i="6"/>
  <c r="BD9" i="6" s="1"/>
  <c r="AZ22" i="6"/>
  <c r="BC22" i="6"/>
  <c r="BD22" i="6" s="1"/>
  <c r="AZ17" i="6"/>
  <c r="BC17" i="6"/>
  <c r="BD17" i="6" s="1"/>
  <c r="AZ25" i="6"/>
  <c r="BC25" i="6"/>
  <c r="BD25" i="6" s="1"/>
  <c r="AZ16" i="6"/>
  <c r="BC16" i="6"/>
  <c r="BD16" i="6" s="1"/>
  <c r="BC12" i="6"/>
  <c r="BD12" i="6" s="1"/>
  <c r="AZ12" i="6"/>
  <c r="AZ17" i="5"/>
  <c r="BC17" i="5"/>
  <c r="BD17" i="5" s="1"/>
  <c r="AZ8" i="5"/>
  <c r="BC8" i="5"/>
  <c r="BD8" i="5" s="1"/>
  <c r="AZ20" i="5"/>
  <c r="BC20" i="5"/>
  <c r="BD20" i="5" s="1"/>
  <c r="AZ15" i="5"/>
  <c r="BC15" i="5"/>
  <c r="BD15" i="5" s="1"/>
  <c r="AZ21" i="5"/>
  <c r="BC21" i="5"/>
  <c r="BD21" i="5" s="1"/>
  <c r="BC12" i="5"/>
  <c r="BD12" i="5" s="1"/>
  <c r="AZ12" i="5"/>
  <c r="AZ9" i="5"/>
  <c r="BC9" i="5"/>
  <c r="BD9" i="5" s="1"/>
  <c r="AZ22" i="5"/>
  <c r="BC22" i="5"/>
  <c r="BD22" i="5" s="1"/>
  <c r="AZ11" i="5"/>
  <c r="BC11" i="5"/>
  <c r="BD11" i="5" s="1"/>
  <c r="AZ14" i="5"/>
  <c r="BC14" i="5"/>
  <c r="BD14" i="5" s="1"/>
  <c r="AZ10" i="5"/>
  <c r="BC10" i="5"/>
  <c r="BD10" i="5" s="1"/>
  <c r="AZ23" i="5"/>
  <c r="BC23" i="5"/>
  <c r="BD23" i="5" s="1"/>
  <c r="BC7" i="5"/>
  <c r="BD7" i="5" s="1"/>
  <c r="AZ7" i="5"/>
  <c r="AZ16" i="5"/>
  <c r="BC16" i="5"/>
  <c r="BD16" i="5" s="1"/>
  <c r="AZ26" i="5"/>
  <c r="BC26" i="5"/>
  <c r="BD26" i="5" s="1"/>
  <c r="AZ13" i="5"/>
  <c r="BC13" i="5"/>
  <c r="BD13" i="5" s="1"/>
  <c r="AZ19" i="5"/>
  <c r="BC19" i="5"/>
  <c r="BD19" i="5" s="1"/>
  <c r="AZ25" i="5"/>
  <c r="BC25" i="5"/>
  <c r="BD25" i="5" s="1"/>
  <c r="AZ18" i="5"/>
  <c r="BC18" i="5"/>
  <c r="BD18" i="5" s="1"/>
  <c r="AZ24" i="5"/>
  <c r="BC24" i="5"/>
  <c r="BD24" i="5" s="1"/>
  <c r="BC7" i="4"/>
  <c r="BD7" i="4" s="1"/>
  <c r="AZ7" i="4"/>
  <c r="AZ17" i="4"/>
  <c r="BC17" i="4"/>
  <c r="BD17" i="4" s="1"/>
  <c r="BC9" i="4"/>
  <c r="BD9" i="4" s="1"/>
  <c r="AZ9" i="4"/>
  <c r="AZ19" i="4"/>
  <c r="BC19" i="4"/>
  <c r="BD19" i="4" s="1"/>
  <c r="AZ22" i="4"/>
  <c r="BC22" i="4"/>
  <c r="BD22" i="4" s="1"/>
  <c r="AZ8" i="4"/>
  <c r="BC8" i="4"/>
  <c r="BD8" i="4" s="1"/>
  <c r="AZ12" i="4"/>
  <c r="BC12" i="4"/>
  <c r="BD12" i="4" s="1"/>
  <c r="AZ20" i="4"/>
  <c r="BC20" i="4"/>
  <c r="BD20" i="4" s="1"/>
  <c r="AZ21" i="4"/>
  <c r="BC21" i="4"/>
  <c r="BD21" i="4" s="1"/>
  <c r="AZ11" i="4"/>
  <c r="BC11" i="4"/>
  <c r="BD11" i="4" s="1"/>
  <c r="AZ24" i="4"/>
  <c r="BC24" i="4"/>
  <c r="BD24" i="4" s="1"/>
  <c r="AZ15" i="4"/>
  <c r="BC15" i="4"/>
  <c r="BD15" i="4" s="1"/>
  <c r="AZ18" i="4"/>
  <c r="BC18" i="4"/>
  <c r="BD18" i="4" s="1"/>
  <c r="AZ10" i="4"/>
  <c r="BC10" i="4"/>
  <c r="BD10" i="4" s="1"/>
  <c r="BC16" i="4"/>
  <c r="BD16" i="4" s="1"/>
  <c r="AZ16" i="4"/>
  <c r="AZ13" i="4"/>
  <c r="BC13" i="4"/>
  <c r="BD13" i="4" s="1"/>
  <c r="AZ26" i="4"/>
  <c r="BC26" i="4"/>
  <c r="BD26" i="4" s="1"/>
  <c r="AZ25" i="4"/>
  <c r="BC25" i="4"/>
  <c r="BD25" i="4" s="1"/>
  <c r="AZ14" i="4"/>
  <c r="BC14" i="4"/>
  <c r="BD14" i="4" s="1"/>
  <c r="AZ23" i="4"/>
  <c r="BC23" i="4"/>
  <c r="BD23" i="4" s="1"/>
  <c r="AZ11" i="3"/>
  <c r="BC11" i="3"/>
  <c r="BD11" i="3" s="1"/>
  <c r="AZ24" i="3"/>
  <c r="BC24" i="3"/>
  <c r="BD24" i="3" s="1"/>
  <c r="AZ14" i="3"/>
  <c r="BC14" i="3"/>
  <c r="BD14" i="3" s="1"/>
  <c r="AZ10" i="3"/>
  <c r="BC10" i="3"/>
  <c r="BD10" i="3" s="1"/>
  <c r="AZ16" i="3"/>
  <c r="BC16" i="3"/>
  <c r="BD16" i="3" s="1"/>
  <c r="AZ17" i="3"/>
  <c r="BC17" i="3"/>
  <c r="BD17" i="3" s="1"/>
  <c r="AZ26" i="3"/>
  <c r="BC26" i="3"/>
  <c r="BD26" i="3" s="1"/>
  <c r="BC7" i="3"/>
  <c r="BD7" i="3" s="1"/>
  <c r="AZ7" i="3"/>
  <c r="AZ15" i="3"/>
  <c r="BC15" i="3"/>
  <c r="BD15" i="3" s="1"/>
  <c r="AZ25" i="3"/>
  <c r="BC25" i="3"/>
  <c r="BD25" i="3" s="1"/>
  <c r="AZ13" i="3"/>
  <c r="BC13" i="3"/>
  <c r="BD13" i="3" s="1"/>
  <c r="BC12" i="3"/>
  <c r="BD12" i="3" s="1"/>
  <c r="AZ12" i="3"/>
  <c r="AZ23" i="3"/>
  <c r="BC23" i="3"/>
  <c r="BD23" i="3" s="1"/>
  <c r="AZ18" i="3"/>
  <c r="BC18" i="3"/>
  <c r="BD18" i="3" s="1"/>
  <c r="AZ9" i="3"/>
  <c r="BC9" i="3"/>
  <c r="BD9" i="3" s="1"/>
  <c r="AZ8" i="3"/>
  <c r="BC8" i="3"/>
  <c r="BD8" i="3" s="1"/>
  <c r="AZ21" i="3"/>
  <c r="BC21" i="3"/>
  <c r="BD21" i="3" s="1"/>
  <c r="AZ19" i="3"/>
  <c r="BC19" i="3"/>
  <c r="BD19" i="3" s="1"/>
  <c r="AZ20" i="3"/>
  <c r="BC20" i="3"/>
  <c r="BD20" i="3" s="1"/>
  <c r="AZ22" i="3"/>
  <c r="BC22" i="3"/>
  <c r="BD22" i="3" s="1"/>
  <c r="AZ26" i="2"/>
  <c r="BC26" i="2"/>
  <c r="BD26" i="2" s="1"/>
  <c r="AZ23" i="2"/>
  <c r="BC23" i="2"/>
  <c r="BD23" i="2" s="1"/>
  <c r="AZ18" i="2"/>
  <c r="BC18" i="2"/>
  <c r="BD18" i="2" s="1"/>
  <c r="AZ17" i="2"/>
  <c r="BC17" i="2"/>
  <c r="BD17" i="2" s="1"/>
  <c r="AZ19" i="2"/>
  <c r="BC19" i="2"/>
  <c r="BD19" i="2" s="1"/>
  <c r="AZ21" i="2"/>
  <c r="BC21" i="2"/>
  <c r="BD21" i="2" s="1"/>
  <c r="AZ24" i="2"/>
  <c r="BC24" i="2"/>
  <c r="BD24" i="2" s="1"/>
  <c r="AZ22" i="2"/>
  <c r="BC22" i="2"/>
  <c r="BD22" i="2" s="1"/>
  <c r="AZ9" i="2"/>
  <c r="BC9" i="2"/>
  <c r="BD9" i="2" s="1"/>
  <c r="AZ13" i="2"/>
  <c r="BC13" i="2"/>
  <c r="BD13" i="2" s="1"/>
  <c r="AZ7" i="2"/>
  <c r="BC7" i="2"/>
  <c r="BD7" i="2" s="1"/>
  <c r="AZ15" i="2"/>
  <c r="BC15" i="2"/>
  <c r="BD15" i="2" s="1"/>
  <c r="AZ11" i="2"/>
  <c r="BC11" i="2"/>
  <c r="BD11" i="2" s="1"/>
  <c r="AZ10" i="2"/>
  <c r="BC10" i="2"/>
  <c r="BD10" i="2" s="1"/>
</calcChain>
</file>

<file path=xl/sharedStrings.xml><?xml version="1.0" encoding="utf-8"?>
<sst xmlns="http://schemas.openxmlformats.org/spreadsheetml/2006/main" count="7033" uniqueCount="45">
  <si>
    <t>S NO.</t>
  </si>
  <si>
    <t>Name</t>
  </si>
  <si>
    <t>Employee Id</t>
  </si>
  <si>
    <t>Rohan Patel</t>
  </si>
  <si>
    <t>Priya Mehta</t>
  </si>
  <si>
    <t>Karan Singh</t>
  </si>
  <si>
    <t>Sneha Iyer</t>
  </si>
  <si>
    <t>Arjun Nair</t>
  </si>
  <si>
    <t>Neha Deshmukh</t>
  </si>
  <si>
    <t>Rahul Verma</t>
  </si>
  <si>
    <t>Kavya Joshi</t>
  </si>
  <si>
    <t>Aditya Rao</t>
  </si>
  <si>
    <t>Ananya Kulkarni</t>
  </si>
  <si>
    <t>Vivek Choudhary</t>
  </si>
  <si>
    <t>Meera Das</t>
  </si>
  <si>
    <t>Sagar Bhat</t>
  </si>
  <si>
    <t>Pooja Reddy</t>
  </si>
  <si>
    <t>Manish Goyal</t>
  </si>
  <si>
    <t>Isha Pandey</t>
  </si>
  <si>
    <t>Raj Malhotra</t>
  </si>
  <si>
    <t>Tanya Kapoor</t>
  </si>
  <si>
    <t>Harsh Tiwari</t>
  </si>
  <si>
    <t>Sita Nagam</t>
  </si>
  <si>
    <t>rought work</t>
  </si>
  <si>
    <t>date By Months</t>
  </si>
  <si>
    <t>To</t>
  </si>
  <si>
    <t>From</t>
  </si>
  <si>
    <t>week off</t>
  </si>
  <si>
    <t>Days</t>
  </si>
  <si>
    <t>Additional Information</t>
  </si>
  <si>
    <t xml:space="preserve">Present </t>
  </si>
  <si>
    <t>Abesent</t>
  </si>
  <si>
    <t>WeekOff</t>
  </si>
  <si>
    <t>Leave</t>
  </si>
  <si>
    <t>PaidDays</t>
  </si>
  <si>
    <t>Salary</t>
  </si>
  <si>
    <t>PerDaySalary</t>
  </si>
  <si>
    <t>Deduction</t>
  </si>
  <si>
    <t>Monthly Report</t>
  </si>
  <si>
    <t>Total Salary</t>
  </si>
  <si>
    <t>Sparkling</t>
  </si>
  <si>
    <t>P</t>
  </si>
  <si>
    <t>A</t>
  </si>
  <si>
    <t>L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</si>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</sst>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m/yyyy"/>
    <numFmt numFmtId="165" formatCode="dd\ "/>
    <numFmt numFmtId="166" formatCode="d\ "/>
    <numFmt numFmtId="167" formatCode="dd"/>
    <numFmt numFmtId="168" formatCode="_ [$₹-4009]\ * #,##0_ ;_ [$₹-4009]\ * \-#,##0_ ;_ [$₹-4009]\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49" fontId="0" fillId="0" borderId="0" xfId="0" applyNumberFormat="1"/>
    <xf numFmtId="167" fontId="0" fillId="0" borderId="0" xfId="0" applyNumberFormat="1"/>
    <xf numFmtId="0" fontId="0" fillId="0" borderId="2" xfId="0" applyBorder="1"/>
    <xf numFmtId="166" fontId="0" fillId="0" borderId="2" xfId="0" applyNumberFormat="1" applyBorder="1"/>
    <xf numFmtId="168" fontId="0" fillId="0" borderId="2" xfId="1" applyNumberFormat="1" applyFont="1" applyBorder="1"/>
    <xf numFmtId="168" fontId="0" fillId="0" borderId="2" xfId="0" applyNumberFormat="1" applyBorder="1"/>
    <xf numFmtId="166" fontId="0" fillId="0" borderId="0" xfId="0" applyNumberFormat="1" applyBorder="1"/>
    <xf numFmtId="168" fontId="0" fillId="0" borderId="0" xfId="1" applyNumberFormat="1" applyFont="1" applyBorder="1"/>
    <xf numFmtId="168" fontId="0" fillId="0" borderId="0" xfId="0" applyNumberFormat="1" applyBorder="1"/>
    <xf numFmtId="0" fontId="0" fillId="6" borderId="0" xfId="0" applyFill="1" applyBorder="1"/>
    <xf numFmtId="0" fontId="4" fillId="5" borderId="7" xfId="0" applyFont="1" applyFill="1" applyBorder="1" applyAlignment="1">
      <alignment horizontal="center" vertical="center"/>
    </xf>
    <xf numFmtId="0" fontId="0" fillId="7" borderId="0" xfId="0" applyFill="1" applyBorder="1"/>
    <xf numFmtId="165" fontId="0" fillId="7" borderId="0" xfId="0" applyNumberFormat="1" applyFill="1" applyBorder="1"/>
    <xf numFmtId="0" fontId="1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8" borderId="0" xfId="0" applyFill="1" applyBorder="1"/>
    <xf numFmtId="0" fontId="0" fillId="8" borderId="0" xfId="0" applyFill="1"/>
    <xf numFmtId="0" fontId="8" fillId="8" borderId="0" xfId="0" applyFont="1" applyFill="1" applyBorder="1"/>
    <xf numFmtId="164" fontId="8" fillId="8" borderId="0" xfId="0" applyNumberFormat="1" applyFont="1" applyFill="1" applyBorder="1"/>
    <xf numFmtId="166" fontId="8" fillId="8" borderId="0" xfId="0" applyNumberFormat="1" applyFont="1" applyFill="1" applyBorder="1"/>
    <xf numFmtId="0" fontId="0" fillId="0" borderId="0" xfId="0" applyFill="1" applyBorder="1"/>
    <xf numFmtId="0" fontId="0" fillId="0" borderId="7" xfId="0" applyFill="1" applyBorder="1"/>
    <xf numFmtId="164" fontId="8" fillId="8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00"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2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5"/>
      </font>
      <fill>
        <patternFill>
          <bgColor theme="7" tint="0.79998168889431442"/>
        </patternFill>
      </fill>
      <border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8" formatCode="_ [$₹-4009]\ * #,##0_ ;_ [$₹-4009]\ * \-#,##0_ ;_ [$₹-4009]\ * &quot;-&quot;??_ ;_ @_ "/>
    </dxf>
    <dxf>
      <numFmt numFmtId="166" formatCode="d\ "/>
    </dxf>
    <dxf>
      <numFmt numFmtId="166" formatCode="d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May!A1"/><Relationship Id="rId13" Type="http://schemas.openxmlformats.org/officeDocument/2006/relationships/image" Target="../media/image1.png"/><Relationship Id="rId3" Type="http://schemas.openxmlformats.org/officeDocument/2006/relationships/hyperlink" Target="#Apr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Nov!A1"/><Relationship Id="rId5" Type="http://schemas.openxmlformats.org/officeDocument/2006/relationships/hyperlink" Target="#Aug!A1"/><Relationship Id="rId10" Type="http://schemas.openxmlformats.org/officeDocument/2006/relationships/hyperlink" Target="#Sep!A1"/><Relationship Id="rId4" Type="http://schemas.openxmlformats.org/officeDocument/2006/relationships/hyperlink" Target="#Jun!A1"/><Relationship Id="rId9" Type="http://schemas.openxmlformats.org/officeDocument/2006/relationships/hyperlink" Target="#Jul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6FA8686-5774-B46A-5D1F-E46F501D64C5}"/>
            </a:ext>
          </a:extLst>
        </xdr:cNvPr>
        <xdr:cNvSpPr/>
      </xdr:nvSpPr>
      <xdr:spPr>
        <a:xfrm>
          <a:off x="0" y="0"/>
          <a:ext cx="14411739" cy="375478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9E2CE11-9589-798D-9239-C1E0EBFE088E}"/>
            </a:ext>
          </a:extLst>
        </xdr:cNvPr>
        <xdr:cNvSpPr/>
      </xdr:nvSpPr>
      <xdr:spPr>
        <a:xfrm>
          <a:off x="609600" y="198120"/>
          <a:ext cx="1219200" cy="474726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18430</xdr:colOff>
      <xdr:row>2</xdr:row>
      <xdr:rowOff>67185</xdr:rowOff>
    </xdr:from>
    <xdr:to>
      <xdr:col>3</xdr:col>
      <xdr:colOff>396991</xdr:colOff>
      <xdr:row>3</xdr:row>
      <xdr:rowOff>130538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C73163-4594-435D-9C41-03145138E180}"/>
            </a:ext>
          </a:extLst>
        </xdr:cNvPr>
        <xdr:cNvSpPr/>
      </xdr:nvSpPr>
      <xdr:spPr>
        <a:xfrm>
          <a:off x="630176" y="442819"/>
          <a:ext cx="1602054" cy="245804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Januay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7D2924-CC65-F091-F873-46AEFCA9CFBF}"/>
            </a:ext>
          </a:extLst>
        </xdr:cNvPr>
        <xdr:cNvSpPr/>
      </xdr:nvSpPr>
      <xdr:spPr>
        <a:xfrm>
          <a:off x="616418" y="77144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28" name="Rectangle: Rounded Corners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8D0D93-6DF1-060D-2CB5-6110BDD12BCA}"/>
            </a:ext>
          </a:extLst>
        </xdr:cNvPr>
        <xdr:cNvSpPr/>
      </xdr:nvSpPr>
      <xdr:spPr>
        <a:xfrm>
          <a:off x="630294" y="147469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1" name="Rectangle: Rounded Corners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B5B4AF-162F-387A-B91F-F4E0BECC14DC}"/>
            </a:ext>
          </a:extLst>
        </xdr:cNvPr>
        <xdr:cNvSpPr/>
      </xdr:nvSpPr>
      <xdr:spPr>
        <a:xfrm>
          <a:off x="628931" y="219317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4" name="Rectangle: Rounded Corners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454A7B-9D4F-9AC4-D651-A8B4591D100D}"/>
            </a:ext>
          </a:extLst>
        </xdr:cNvPr>
        <xdr:cNvSpPr/>
      </xdr:nvSpPr>
      <xdr:spPr>
        <a:xfrm>
          <a:off x="627567" y="290403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7" name="Rectangle: Rounded Corners 3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694BC3-5F29-8A69-C07F-DF1118167077}"/>
            </a:ext>
          </a:extLst>
        </xdr:cNvPr>
        <xdr:cNvSpPr/>
      </xdr:nvSpPr>
      <xdr:spPr>
        <a:xfrm>
          <a:off x="618584" y="361490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27" name="Rectangle: Rounded Corners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A97E74-4D6E-DC05-7D89-B3231E5E7559}"/>
            </a:ext>
          </a:extLst>
        </xdr:cNvPr>
        <xdr:cNvSpPr/>
      </xdr:nvSpPr>
      <xdr:spPr>
        <a:xfrm>
          <a:off x="122608" y="113694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0" name="Rectangle: Rounded Corners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83FB1BE-4E56-FFD2-4D66-739170F64C58}"/>
            </a:ext>
          </a:extLst>
        </xdr:cNvPr>
        <xdr:cNvSpPr/>
      </xdr:nvSpPr>
      <xdr:spPr>
        <a:xfrm>
          <a:off x="121525" y="186123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3" name="Rectangle: Rounded Corners 3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8EFBF86-4945-2C92-F7F2-59339E406414}"/>
            </a:ext>
          </a:extLst>
        </xdr:cNvPr>
        <xdr:cNvSpPr/>
      </xdr:nvSpPr>
      <xdr:spPr>
        <a:xfrm>
          <a:off x="120441" y="257785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36" name="Rectangle: Rounded Corners 3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4E9902C-DCEE-2677-DFFF-0D448EC8EBF4}"/>
            </a:ext>
          </a:extLst>
        </xdr:cNvPr>
        <xdr:cNvSpPr/>
      </xdr:nvSpPr>
      <xdr:spPr>
        <a:xfrm>
          <a:off x="113305" y="329447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39" name="Rectangle: Rounded Corners 3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587569E-FB0A-DD3B-6FF3-363CB141218F}"/>
            </a:ext>
          </a:extLst>
        </xdr:cNvPr>
        <xdr:cNvSpPr/>
      </xdr:nvSpPr>
      <xdr:spPr>
        <a:xfrm>
          <a:off x="124328" y="401108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0" name="Rectangle: Rounded Corners 3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791B8D4-5F01-572C-890F-98B3115B7D4A}"/>
            </a:ext>
          </a:extLst>
        </xdr:cNvPr>
        <xdr:cNvSpPr/>
      </xdr:nvSpPr>
      <xdr:spPr>
        <a:xfrm>
          <a:off x="632460" y="432576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8540565-A9D9-3746-6E54-26103A819867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6" name="Rectangle 5">
          <a:extLst>
            <a:ext uri="{FF2B5EF4-FFF2-40B4-BE49-F238E27FC236}">
              <a16:creationId xmlns:a16="http://schemas.microsoft.com/office/drawing/2014/main" id="{6A5C6EF2-CD9D-6EF2-90BB-71EA0F993194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01-Jan-2025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E5CAE91-E804-8F90-7184-07DF3BD1A46E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8" name="Rectangle 7">
          <a:extLst>
            <a:ext uri="{FF2B5EF4-FFF2-40B4-BE49-F238E27FC236}">
              <a16:creationId xmlns:a16="http://schemas.microsoft.com/office/drawing/2014/main" id="{FB240B86-78DC-BB7A-17ED-01B498E23D3D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31-Jan-2025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10" name="Rectangle 9">
          <a:extLst>
            <a:ext uri="{FF2B5EF4-FFF2-40B4-BE49-F238E27FC236}">
              <a16:creationId xmlns:a16="http://schemas.microsoft.com/office/drawing/2014/main" id="{18F81D85-AE5E-7FE0-2926-8E09D459CAB8}"/>
            </a:ext>
          </a:extLst>
        </xdr:cNvPr>
        <xdr:cNvSpPr/>
      </xdr:nvSpPr>
      <xdr:spPr>
        <a:xfrm>
          <a:off x="6092142" y="76200"/>
          <a:ext cx="4217809" cy="245126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9" name="TextBox 8">
          <a:extLst>
            <a:ext uri="{FF2B5EF4-FFF2-40B4-BE49-F238E27FC236}">
              <a16:creationId xmlns:a16="http://schemas.microsoft.com/office/drawing/2014/main" id="{AEEBA256-8019-475D-6064-D16E6F6BD931}"/>
            </a:ext>
          </a:extLst>
        </xdr:cNvPr>
        <xdr:cNvSpPr txBox="1"/>
      </xdr:nvSpPr>
      <xdr:spPr>
        <a:xfrm>
          <a:off x="8896120" y="82626"/>
          <a:ext cx="1340386" cy="229519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January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13" name="Graphic 12" descr="Magnifying glass with solid fill">
          <a:extLst>
            <a:ext uri="{FF2B5EF4-FFF2-40B4-BE49-F238E27FC236}">
              <a16:creationId xmlns:a16="http://schemas.microsoft.com/office/drawing/2014/main" id="{D8CC24B5-EFBC-E53B-2084-B10D383A8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70434" y="91806"/>
          <a:ext cx="220339" cy="220339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78CEB48-D5AC-B45C-1143-67764C596BA7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15" name="TextBox 14">
          <a:extLst>
            <a:ext uri="{FF2B5EF4-FFF2-40B4-BE49-F238E27FC236}">
              <a16:creationId xmlns:a16="http://schemas.microsoft.com/office/drawing/2014/main" id="{8E0801F8-F825-E240-B07F-DDE9A687AA19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8B3D59A4-E603-CBFF-A6DE-D7C1E8101833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17" name="TextBox 16">
          <a:extLst>
            <a:ext uri="{FF2B5EF4-FFF2-40B4-BE49-F238E27FC236}">
              <a16:creationId xmlns:a16="http://schemas.microsoft.com/office/drawing/2014/main" id="{9F49E733-D69D-9319-4DC5-C8AC65FD726D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AB3161E-3896-4ADD-CDD0-F5CD9B7B0DD6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19" name="TextBox 18">
          <a:extLst>
            <a:ext uri="{FF2B5EF4-FFF2-40B4-BE49-F238E27FC236}">
              <a16:creationId xmlns:a16="http://schemas.microsoft.com/office/drawing/2014/main" id="{DC883BA9-5DCF-6910-6C32-BFAD722B4484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9E2C4D3-A07C-445B-8B5B-ACF2F6E27FB7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409CB4E9-B311-4454-AB62-F076925F8A84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157516</xdr:colOff>
      <xdr:row>2</xdr:row>
      <xdr:rowOff>56017</xdr:rowOff>
    </xdr:from>
    <xdr:to>
      <xdr:col>2</xdr:col>
      <xdr:colOff>236838</xdr:colOff>
      <xdr:row>3</xdr:row>
      <xdr:rowOff>113271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842678-4D53-4586-A0AC-04E96BCE1B4F}"/>
            </a:ext>
          </a:extLst>
        </xdr:cNvPr>
        <xdr:cNvSpPr/>
      </xdr:nvSpPr>
      <xdr:spPr>
        <a:xfrm>
          <a:off x="157516" y="437017"/>
          <a:ext cx="1294403" cy="24260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January</a:t>
          </a:r>
        </a:p>
      </xdr:txBody>
    </xdr:sp>
    <xdr:clientData/>
  </xdr:twoCellAnchor>
  <xdr:twoCellAnchor>
    <xdr:from>
      <xdr:col>0</xdr:col>
      <xdr:colOff>387818</xdr:colOff>
      <xdr:row>4</xdr:row>
      <xdr:rowOff>19332</xdr:rowOff>
    </xdr:from>
    <xdr:to>
      <xdr:col>3</xdr:col>
      <xdr:colOff>158838</xdr:colOff>
      <xdr:row>5</xdr:row>
      <xdr:rowOff>82685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C3DF04-EF22-4A95-BE28-850722BBF457}"/>
            </a:ext>
          </a:extLst>
        </xdr:cNvPr>
        <xdr:cNvSpPr/>
      </xdr:nvSpPr>
      <xdr:spPr>
        <a:xfrm>
          <a:off x="387818" y="781332"/>
          <a:ext cx="1593642" cy="248704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2ED69A-F309-4881-A0DF-0404441B16FB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CE1020-EDDA-43C1-9A7D-FE0BFABD4844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94424F-A908-4AD2-8C47-FADD667DF43C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1638C4-237C-4FF8-B9C3-DB00C47E900B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A1BD25-63BA-4F9B-89C6-5FB30726F9AF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C48486-E37E-4F16-8143-612C57BBED5E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1139486-7C52-448E-9266-E2C4981A7825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0C8E8E5-9610-4188-A0F5-B29CCB939617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E4ADF74-EE31-46F6-9173-C26A3A81590D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DF2B42F-B553-4D2A-81A9-D40ED57A93B0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4E3A2EB-85FA-4144-B494-BD3D833AA848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3401FCF7-F775-47A6-AA4B-C933DCE0129E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01-Feb-2025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0488EA0-B376-4BED-80C2-80DC256E8855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DEF86E7A-74AB-4031-9A04-482AA50139BA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28-Feb-2025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8882257B-D78D-4616-ACD7-701168C66089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7C94F4B6-9E42-4802-9954-D6AE41263BFE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February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94F7D030-8648-467B-B74D-A96ED6E0D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7472DD45-8A6A-4E28-BCD6-C76F86B41CB0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A3424780-FC07-4877-8DF1-E8CD8B4AD209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5AE109C0-4961-444D-AC98-ACB0B59B937F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483CE411-FB25-4FA0-9302-C645F01B66FC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C4ED9191-C486-4415-9AF2-F8BCA332891C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1AB62DA8-EAA0-45C4-B1FF-9325B1AB3E15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C12C081-44CC-485D-A549-3C3270F0C258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7247708D-7BF6-489D-9CBE-8BBF95BC8580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1542</xdr:colOff>
      <xdr:row>6</xdr:row>
      <xdr:rowOff>34515</xdr:rowOff>
    </xdr:from>
    <xdr:to>
      <xdr:col>3</xdr:col>
      <xdr:colOff>380103</xdr:colOff>
      <xdr:row>7</xdr:row>
      <xdr:rowOff>97868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84B688-159F-48C7-87B8-6AD23448F406}"/>
            </a:ext>
          </a:extLst>
        </xdr:cNvPr>
        <xdr:cNvSpPr/>
      </xdr:nvSpPr>
      <xdr:spPr>
        <a:xfrm>
          <a:off x="606660" y="1143897"/>
          <a:ext cx="1588796" cy="242647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March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6B7953-AC35-492F-BC35-6C36B96F8B62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8B722B-FEBC-4AE2-AAE3-1AC2C6878674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DC50DE-E00E-4DC7-9CFF-CDB2CC1FDAEB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15D195-24F1-43C1-8D11-7862E97DE7C5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A1040E3-00DF-48F0-A1DB-97A77B0B446B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2</xdr:row>
      <xdr:rowOff>54003</xdr:rowOff>
    </xdr:from>
    <xdr:to>
      <xdr:col>2</xdr:col>
      <xdr:colOff>172714</xdr:colOff>
      <xdr:row>3</xdr:row>
      <xdr:rowOff>119349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B93A36F-B1A2-4771-B771-F436CCA5A94D}"/>
            </a:ext>
          </a:extLst>
        </xdr:cNvPr>
        <xdr:cNvSpPr/>
      </xdr:nvSpPr>
      <xdr:spPr>
        <a:xfrm>
          <a:off x="122608" y="423797"/>
          <a:ext cx="1260341" cy="24464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E8E3909-DB7C-4398-A641-8DA11C9D090E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9E3F3C-C9DD-45EB-B93D-6DBBE686AD89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E9AE7F9-2284-4863-BB46-EB3C8DFA3656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4C7D7A1-DCC9-414C-972F-846A5FA6FD72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5C9B7E9-14DC-4BD5-AE4E-324AFC3DBB02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57D8278-558C-48A9-9F12-6D25FD7345E6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2A200A01-1672-482C-8538-415FF5118CC0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01-Mar-2025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319B1C01-86F9-4136-8383-616C4791125C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F1F58BBD-EBBD-4365-9988-BA003CEFEFCB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31-Mar-2025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9869F18A-D4D2-4EE8-8255-58E91F4E1E67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F430FCBF-4F20-497A-A5CE-3678E5E1EEDA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March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394BFF8B-E200-4A40-842F-DEDA44015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FC1C5E32-BCDA-4990-BD02-E133FB583979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EF723983-1286-454E-82AE-5D25D0F1DD79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4142E86E-E237-47ED-B5B4-A2405F805D18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5F66BBC2-5B78-4BCC-9447-98F8BB14AA15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869B9D92-1009-41D9-8A2B-471698ABEFCD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1D3855FB-EFBD-4421-AF4B-6ED89C9FFA0E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180D9DF-1E3C-4971-B872-2C7E48472107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654CD95-55B8-4760-B9A7-1A03117C3397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95027</xdr:colOff>
      <xdr:row>2</xdr:row>
      <xdr:rowOff>62631</xdr:rowOff>
    </xdr:from>
    <xdr:to>
      <xdr:col>2</xdr:col>
      <xdr:colOff>167014</xdr:colOff>
      <xdr:row>3</xdr:row>
      <xdr:rowOff>140389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4937BB-A72D-4D3D-A393-F1B2F17F7C46}"/>
            </a:ext>
          </a:extLst>
        </xdr:cNvPr>
        <xdr:cNvSpPr/>
      </xdr:nvSpPr>
      <xdr:spPr>
        <a:xfrm>
          <a:off x="95027" y="438412"/>
          <a:ext cx="1282836" cy="265648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F1C09D-560C-4078-90E4-6CD32C5CBF61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553050</xdr:colOff>
      <xdr:row>8</xdr:row>
      <xdr:rowOff>11650</xdr:rowOff>
    </xdr:from>
    <xdr:to>
      <xdr:col>3</xdr:col>
      <xdr:colOff>326186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10CD2A-EBAA-4BD6-AD4C-661561BC70F6}"/>
            </a:ext>
          </a:extLst>
        </xdr:cNvPr>
        <xdr:cNvSpPr/>
      </xdr:nvSpPr>
      <xdr:spPr>
        <a:xfrm>
          <a:off x="553050" y="1514773"/>
          <a:ext cx="1589410" cy="251244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029E69-7084-4EFD-B607-E49953ED2E42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06C7B2-BE5C-4925-93DF-E45C492B0796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8DD5BB0-CFA1-4B4D-AC22-D067B632B15B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3D9864-205E-4B9C-8071-4913FC01684B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FB34E95-3C00-4B52-8548-A11F7B98F994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7E499E1-885A-403D-9CA0-C9B9606C0834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C24807F-2479-4B5F-9089-4CD271229A32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5D03A0A-FBCF-4CFD-AB63-C72B7C238DE3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E73B2F-9AB2-4FBE-84E2-CBE63C5250DC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8D89719-3984-4BED-A38B-80F71E847AD9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D83801D0-E1E4-4337-A743-55504B83229F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01-Apr-2025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46A06BAF-CFF1-4FDE-9B2F-AB646BF63C3B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951BCE80-5450-49FA-A780-20731D00BE95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30-Apr-2025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20DCE06A-F874-43FD-AF36-26B10827929B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58F7A479-43C0-409D-BC2B-CF2F35DC5284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April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3317D00D-2AB3-4E31-A201-434AAF7C8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4675E1A4-FA3B-4C04-87D7-11C499362CA9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3BED2A06-EEA5-4D64-8A08-184249C5A50D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26027EAB-2182-4093-8EAA-0FCCC3908FFA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7CB2EFCC-C5B4-476B-8895-825DD4B78FAE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B5D35B8C-6C34-4D74-AB3B-0FC66D618FB9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20F7A8AE-C5CD-4B35-8F20-19D5C3971508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C0FA5AF-61BC-4930-9557-9949478D026A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203B30B3-AB60-4CAA-895E-DE774A1519C9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147219</xdr:colOff>
      <xdr:row>2</xdr:row>
      <xdr:rowOff>16412</xdr:rowOff>
    </xdr:from>
    <xdr:to>
      <xdr:col>2</xdr:col>
      <xdr:colOff>185615</xdr:colOff>
      <xdr:row>3</xdr:row>
      <xdr:rowOff>117231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0BE038-D4CF-4DC8-915B-C526724D8F48}"/>
            </a:ext>
          </a:extLst>
        </xdr:cNvPr>
        <xdr:cNvSpPr/>
      </xdr:nvSpPr>
      <xdr:spPr>
        <a:xfrm>
          <a:off x="147219" y="397412"/>
          <a:ext cx="1249781" cy="286434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January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3AC963-D16C-4CBF-AB92-07C718C158ED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33D673-2427-4613-9145-DF6C1E7F4193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065B15A-E550-4C46-A962-BC37660D4C37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84A801-3730-4E0F-B305-4943F7D72B35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995FE69-6D0E-4679-A8ED-615812FCE3D5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1103ED2-7C80-4C2C-8CAC-8FC745793D05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1</xdr:col>
      <xdr:colOff>43371</xdr:colOff>
      <xdr:row>10</xdr:row>
      <xdr:rowOff>11727</xdr:rowOff>
    </xdr:from>
    <xdr:to>
      <xdr:col>3</xdr:col>
      <xdr:colOff>449384</xdr:colOff>
      <xdr:row>11</xdr:row>
      <xdr:rowOff>107461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232899B-9E79-422F-B884-EE741B076A68}"/>
            </a:ext>
          </a:extLst>
        </xdr:cNvPr>
        <xdr:cNvSpPr/>
      </xdr:nvSpPr>
      <xdr:spPr>
        <a:xfrm>
          <a:off x="649063" y="1897189"/>
          <a:ext cx="1617398" cy="281349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5D95ECC-1C5B-4DD8-BD92-7A6C75C49FF7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AEC60F5-CF45-41F0-8922-AABEAC68F958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9D57208-9978-4207-8726-91D8D1339D4B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34F2FA2-26F2-4E3B-B8DF-A6043A2DB4C8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A6D1FC2B-9399-4D7C-A19B-FB5B3F2912F0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162E2A00-67EA-45F4-A303-095C22335E43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01-May-2025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C3D3ECC-3785-4BDE-A819-529B0C84AC06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F8E6CA6C-3F46-463F-ACB8-5067F0639077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31-May-2025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514ADF38-AED8-4063-A2F3-2B8078344CC6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2AECAD33-B32A-4ADA-927B-9AE399F2817B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May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43A4B91B-D865-407B-A06A-F20FFEAB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25F2F22D-3613-4FF9-8403-B1CFD3747CF9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E289ABB9-3873-46B1-9225-9079CD25EF06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27976518-6E1D-4A29-8807-46EFD2316D45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B3CE8B4F-9DD4-4831-AEE3-64EA12F21BD4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BB6F01E2-D53E-4633-8092-E37C5E2FA37E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D07137EB-D869-44A3-8C07-92EE76C1D646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7E56E17-6407-4E92-AE69-E4B2DACE3246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AB98B6A9-FC6B-4EB9-9F16-74AB753D68A8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147220</xdr:colOff>
      <xdr:row>2</xdr:row>
      <xdr:rowOff>79337</xdr:rowOff>
    </xdr:from>
    <xdr:to>
      <xdr:col>2</xdr:col>
      <xdr:colOff>168089</xdr:colOff>
      <xdr:row>3</xdr:row>
      <xdr:rowOff>156882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C25223-EFE7-44D7-BA34-8B46FB867C3D}"/>
            </a:ext>
          </a:extLst>
        </xdr:cNvPr>
        <xdr:cNvSpPr/>
      </xdr:nvSpPr>
      <xdr:spPr>
        <a:xfrm>
          <a:off x="147220" y="449131"/>
          <a:ext cx="1231104" cy="256839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BEC641-D134-4B22-890A-67F7AA0345F9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0AF838-B309-45C2-BFC4-DE55F0766A70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1</xdr:col>
      <xdr:colOff>41742</xdr:colOff>
      <xdr:row>11</xdr:row>
      <xdr:rowOff>170289</xdr:rowOff>
    </xdr:from>
    <xdr:to>
      <xdr:col>3</xdr:col>
      <xdr:colOff>420303</xdr:colOff>
      <xdr:row>13</xdr:row>
      <xdr:rowOff>50762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6B797A-956E-4ABD-A178-DF14085B7008}"/>
            </a:ext>
          </a:extLst>
        </xdr:cNvPr>
        <xdr:cNvSpPr/>
      </xdr:nvSpPr>
      <xdr:spPr>
        <a:xfrm>
          <a:off x="646860" y="2176142"/>
          <a:ext cx="1588796" cy="239061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206C8EC-5162-458B-A2A6-DFC63A32FFC6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CFCB69-827C-4957-8295-CB4E42B571D1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EB43B2-8EE3-4CF3-9C7D-05C438FDBAC9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346587F-E93E-44C6-8216-94CBB562BB06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9F561B9-E301-4DA8-A3DB-092FB59E5B0E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B4D3857-7E15-421E-B3BC-9FECBAF9D9C4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F9DFA7D-4AD8-4DE3-A954-461102837020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1D426E8-50CE-47ED-B479-1B438054F132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DE052AC-5894-45C1-8D46-3A4CE26CB7AE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DF57F72B-F1F9-4057-98C4-D5A5CE49EBD8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01-Jun-2025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DA779CA-B211-4FAE-8C80-F79793095D5E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D2BB0417-0704-40AA-8AD0-8D58E6745DEB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30-Jun-2025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3CE76E98-9859-4C1D-A2E9-511F8B6D6A90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182AA507-C9E7-4789-A740-BCFE7E0EC8BE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June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1A37F3D7-8E59-4589-B52C-31EBD13EF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C709CC4F-90C1-4C48-9721-EC3BE7343A23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7BB14E81-0EA2-479C-AA90-A90C0EB7BC3D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D26D929D-1564-46BC-918E-F7412E75D79F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EE41AF26-58ED-4C25-BB34-2F1A9559C962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D9C82BEC-A1AD-4C13-ACCA-8E5ED98F3FEC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1E02C853-EA74-4238-A63B-AAA784532ABC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E07739F-E31F-4CFC-A9A1-6E726FE72552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3098355E-6309-44C0-816F-1F8637D378C9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123029</xdr:colOff>
      <xdr:row>2</xdr:row>
      <xdr:rowOff>57815</xdr:rowOff>
    </xdr:from>
    <xdr:to>
      <xdr:col>2</xdr:col>
      <xdr:colOff>193524</xdr:colOff>
      <xdr:row>3</xdr:row>
      <xdr:rowOff>108857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61CBB4-600A-44DB-908D-A090080033CE}"/>
            </a:ext>
          </a:extLst>
        </xdr:cNvPr>
        <xdr:cNvSpPr/>
      </xdr:nvSpPr>
      <xdr:spPr>
        <a:xfrm>
          <a:off x="123029" y="432767"/>
          <a:ext cx="1280019" cy="232471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January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564EBA-8454-4E96-A8F0-988005DF07FC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27B298-126C-42DD-9865-7352E057DD02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059FDC-4F27-4009-8DE1-9F5A4952A363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2CE9A7-819A-40A0-9AE6-CFE3A15B4AE7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54D2C96-EC49-4934-8696-035830FA185F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B12A1B-8A20-491D-B4D6-CD8F7F396E33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634A7CE-0953-433E-80C4-9003E09A87CD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495392</xdr:colOff>
      <xdr:row>13</xdr:row>
      <xdr:rowOff>169935</xdr:rowOff>
    </xdr:from>
    <xdr:to>
      <xdr:col>3</xdr:col>
      <xdr:colOff>314475</xdr:colOff>
      <xdr:row>15</xdr:row>
      <xdr:rowOff>48381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A6A0D25-63E7-4DCB-8952-A1E5F81158E8}"/>
            </a:ext>
          </a:extLst>
        </xdr:cNvPr>
        <xdr:cNvSpPr/>
      </xdr:nvSpPr>
      <xdr:spPr>
        <a:xfrm>
          <a:off x="495392" y="2564792"/>
          <a:ext cx="1633369" cy="241303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7CC111F-532F-42FA-A9F0-448E72EC2190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9E5B0FF-87DF-4B4A-9229-2D9E3193AF20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3D936-7A28-48FD-8AA7-E947CC59C6FE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CB1892C-91BD-43D9-858A-79CBF53CA449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887E4B7B-065A-4ABB-916A-8C74608C4BC5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01-Jul-2025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EE331C0-C512-4C30-A645-66FAC8D4155E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B03CC09D-330F-45A9-BEF6-CC25EF02D6CB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31-Jul-2025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CD60C8A6-B0CE-4CC5-98EE-DBEF2E89F967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6E0413B3-D781-47B3-ACCD-BA235CD57611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July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E2097407-88C3-4877-BDA9-3B29ABE73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FEA8066F-E0CF-4D88-A3AA-804F469E058E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FDC6C23B-39C4-4181-8180-55C837BD1886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F3B7F8DD-3522-4618-B964-E3A6EEFFA277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D649E79E-18DE-4D4F-89AE-349417F234C5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7ECFEC9E-E9E1-4CC6-9BA8-EDCE32090E11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1304F74E-5FAB-4A6C-8C44-0DC2BAABE9B2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D81A895-E329-4B61-A0E9-38996C5A33C7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4C59291D-2501-4EDA-8662-09A45E5AB40A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157802</xdr:colOff>
      <xdr:row>2</xdr:row>
      <xdr:rowOff>56303</xdr:rowOff>
    </xdr:from>
    <xdr:to>
      <xdr:col>2</xdr:col>
      <xdr:colOff>137583</xdr:colOff>
      <xdr:row>3</xdr:row>
      <xdr:rowOff>127000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0DDA20-F7A4-4E19-A5A5-F0E7E8DD4215}"/>
            </a:ext>
          </a:extLst>
        </xdr:cNvPr>
        <xdr:cNvSpPr/>
      </xdr:nvSpPr>
      <xdr:spPr>
        <a:xfrm>
          <a:off x="157802" y="426720"/>
          <a:ext cx="1207448" cy="250613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5B782E-6325-43B4-835B-8037103C929C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79F19F-E684-4636-AC8F-9B3E2E71A730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805802-73F4-499C-8F87-86DA49B6B2DC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483633</xdr:colOff>
      <xdr:row>16</xdr:row>
      <xdr:rowOff>2087</xdr:rowOff>
    </xdr:from>
    <xdr:to>
      <xdr:col>3</xdr:col>
      <xdr:colOff>248361</xdr:colOff>
      <xdr:row>17</xdr:row>
      <xdr:rowOff>62477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E20E60-6A57-417A-B91F-1A670317A3D7}"/>
            </a:ext>
          </a:extLst>
        </xdr:cNvPr>
        <xdr:cNvSpPr/>
      </xdr:nvSpPr>
      <xdr:spPr>
        <a:xfrm>
          <a:off x="483633" y="2912504"/>
          <a:ext cx="1606228" cy="240306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3915F5C-FAAE-47C2-A01F-A7D0CB735F0F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ACC7B4-D71B-4479-B089-9704DD468E7A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ECD6258-50E5-4C49-8060-0CFB59F42F00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950C0D-9AC6-4503-BF1B-95605161022D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C7EE0FC-7B3A-46E0-A159-521530C20957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F2FA7E9-6C0E-477F-A256-F9BFABF4C69C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114F64C-DDBF-446E-B7D7-9AF56BD6AFAB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FBFC3953-2FBC-4FEC-B6F9-AB73BE9E0717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E7FD03EB-39F9-4260-9FB1-8DB0390885E9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01-Aug-2025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7439451-92A6-47D6-8F7A-E67C5F926C20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D5E90227-9BD9-4F62-B376-3E2BB948C305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31-Aug-2025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4A7FB6E6-9F73-489E-8AF6-5165D2F47E38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6BD60167-45EF-44BD-9BDB-2E0B93F73DEA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August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7DF11F61-E9F4-4230-AC8B-51D710EA0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F917848A-11A7-4BE3-92D2-CC89E672460D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12A53855-867E-414A-BDCD-771118138E14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DA90BC88-4EE0-44DB-887E-F1587FC89D1C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B0CD9CE1-3624-48D7-8AC2-119082D5CB9C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8DA4DD43-1BF4-4115-9C0D-E8DCABC2DCD9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E8C9CEB7-28BB-4925-A3F7-D8285C4DE530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E87AA82-14CA-4585-B68E-E3D3B08DBED7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29551926-2C86-4B02-AA71-BA3D68F6286A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179416</xdr:colOff>
      <xdr:row>2</xdr:row>
      <xdr:rowOff>67185</xdr:rowOff>
    </xdr:from>
    <xdr:to>
      <xdr:col>2</xdr:col>
      <xdr:colOff>139521</xdr:colOff>
      <xdr:row>3</xdr:row>
      <xdr:rowOff>118056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9FBC8A-215B-45A8-9D69-3DB5ADB84BE0}"/>
            </a:ext>
          </a:extLst>
        </xdr:cNvPr>
        <xdr:cNvSpPr/>
      </xdr:nvSpPr>
      <xdr:spPr>
        <a:xfrm>
          <a:off x="179416" y="442819"/>
          <a:ext cx="1183598" cy="233322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7AA09A-E147-4334-B047-CBBBAB840A0C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6DAD80-645B-4DF6-863A-E72280880A2C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1FEA49-BFEC-4B8A-8071-25DFE632CAD4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52EFC2-DDDE-4D6A-B7B6-FEAD817BD922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61F3C29-37B9-41CC-9E9D-4E829E898E61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065532A-951B-4D19-9683-0ADE9703203A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330D670-3018-476C-87DC-D76EC42837DA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AE3C8B9-EDC8-4712-A7EF-04CF2588A257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542600</xdr:colOff>
      <xdr:row>17</xdr:row>
      <xdr:rowOff>144299</xdr:rowOff>
    </xdr:from>
    <xdr:to>
      <xdr:col>3</xdr:col>
      <xdr:colOff>268310</xdr:colOff>
      <xdr:row>19</xdr:row>
      <xdr:rowOff>53661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754065E-9EE0-4FD8-A83F-0F71F2E6540F}"/>
            </a:ext>
          </a:extLst>
        </xdr:cNvPr>
        <xdr:cNvSpPr/>
      </xdr:nvSpPr>
      <xdr:spPr>
        <a:xfrm>
          <a:off x="542600" y="3278158"/>
          <a:ext cx="1560949" cy="274264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D482AC5-A737-4376-9972-2A07BEC2C653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70258AF-0B26-4E6E-AE43-AF2841AC0D5B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72F3ECD-2EAC-478E-B1CF-4D8C09D2F8C5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DF5CB94F-2577-4044-A3FE-7B2A0944B72C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01-Sep-2025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0554744-9BE6-4CEF-BCE1-FD7CC9EA17BC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68C0F935-722D-4CA5-B3DF-F67176CE9E10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30-Sep-2025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590F95F5-6CEA-4AC3-8F23-5280E1215A28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DC715AE8-391A-43F6-85DA-994D59BFDDED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September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D4B45676-6938-4208-AE7C-E264DE7CF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D6817415-2449-4393-B312-8A322C980F32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D5EADDFF-FD89-4B57-8E07-3D5A3D771551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CBA0A7C6-7A1C-478B-97C2-E682B9BCB2E3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B8B0488A-76DE-42C5-85BF-89EE0F51B26A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A4FF7A3D-2AE4-4D0E-BE23-266B40ACBA0A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01DE7276-D635-4C7D-A0E3-0605EAF596A7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4BBD285-5607-410D-905D-8C662B263675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DF0F7587-7124-406C-9CB9-5BE16B4D43F3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157802</xdr:colOff>
      <xdr:row>2</xdr:row>
      <xdr:rowOff>98637</xdr:rowOff>
    </xdr:from>
    <xdr:to>
      <xdr:col>2</xdr:col>
      <xdr:colOff>137583</xdr:colOff>
      <xdr:row>3</xdr:row>
      <xdr:rowOff>158751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D8D012-C42A-4C03-8370-D321BEE10511}"/>
            </a:ext>
          </a:extLst>
        </xdr:cNvPr>
        <xdr:cNvSpPr/>
      </xdr:nvSpPr>
      <xdr:spPr>
        <a:xfrm>
          <a:off x="157802" y="469054"/>
          <a:ext cx="1207448" cy="24003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January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0FF453-35FE-4E96-A240-509319BAA766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0D02EC-D578-4765-9494-54108D16169A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727849-6680-46EB-895F-BDE8111BC7C5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36ECE0-5A22-4F7B-940F-9EB33B76D6E0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612234</xdr:colOff>
      <xdr:row>19</xdr:row>
      <xdr:rowOff>129600</xdr:rowOff>
    </xdr:from>
    <xdr:to>
      <xdr:col>3</xdr:col>
      <xdr:colOff>376962</xdr:colOff>
      <xdr:row>21</xdr:row>
      <xdr:rowOff>10073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EF7A5C-1866-414E-8560-AA63C559CE9C}"/>
            </a:ext>
          </a:extLst>
        </xdr:cNvPr>
        <xdr:cNvSpPr/>
      </xdr:nvSpPr>
      <xdr:spPr>
        <a:xfrm>
          <a:off x="612234" y="3579767"/>
          <a:ext cx="1606228" cy="240306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775DB7-0150-4D73-B194-5679BC81E206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D9FAC2B-B630-4103-AEC9-E9197D329927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742D32F-37EA-44D9-8C44-587D8B2996BB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E97DEB5-B35E-442C-AABB-E862AA9A5B3A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4DB5FD5-A8C5-4362-BBB4-61279005C5D6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98B450-4AEB-4750-9B63-AB502B53A0D6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D04D0D0-329B-4FE6-8A74-73C805CB978A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E0D978CB-085D-4D40-AC38-13CFA32E1BE5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01-Oct-2025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A4F4667B-24DD-4E23-90C9-EBBAFC5C95AF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AE9CD98A-3B6B-4245-BBE2-EBBCA8F27157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31-Oct-2025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AE6C3612-3FCD-40EC-B8A1-D8E6DD36AFD2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D8E1D17A-698E-47A1-9E19-1111BF44725A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October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42E4E364-9446-4543-8050-B13621E7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6C2A088E-E1CE-46C4-A9F5-FC207351D906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0B10B0E6-4674-4916-BE3A-37EA7CB57F5F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F2A2C7EB-0B10-4A4F-98DE-F486697D42D9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EBBA1841-FDDA-403D-AA23-5C35A230ECE8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38B3430-5292-4EC9-A6EA-EFEC0F4ADED8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8D4ADFDC-363F-431B-9BDF-BFCBCBFA8697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EB849C7-20AA-4CCA-B760-9E724F149BCE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4393E600-8941-485F-99D2-FB55751751A4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156866</xdr:colOff>
      <xdr:row>2</xdr:row>
      <xdr:rowOff>55366</xdr:rowOff>
    </xdr:from>
    <xdr:to>
      <xdr:col>2</xdr:col>
      <xdr:colOff>192912</xdr:colOff>
      <xdr:row>3</xdr:row>
      <xdr:rowOff>125392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27A5B9-A769-4EA2-AB00-1176780FD88D}"/>
            </a:ext>
          </a:extLst>
        </xdr:cNvPr>
        <xdr:cNvSpPr/>
      </xdr:nvSpPr>
      <xdr:spPr>
        <a:xfrm>
          <a:off x="156866" y="431543"/>
          <a:ext cx="1251388" cy="253292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January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F43478-2FDB-4AAF-AC2B-A7E77B8DE206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2ADDBB-2C7A-4825-B3E2-425AD33091E5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1D8A91-91D4-4E93-AF96-A81D4A0A0AF0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67BF81-EC10-4BAE-9E11-5E3E8DB52B6E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3E91D71-3EF9-4162-BE4A-E40F17E86CB9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EB59B7C-2DD9-45B9-9810-87C3D9624ED7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D85D8A7-B715-416E-BE8B-2938B6E2F173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CD2B830-87D9-41DD-9AEC-DB5B2F5860F0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E493E4E-EED0-4583-A007-2EFC796C54A0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577670</xdr:colOff>
      <xdr:row>21</xdr:row>
      <xdr:rowOff>140128</xdr:rowOff>
    </xdr:from>
    <xdr:to>
      <xdr:col>3</xdr:col>
      <xdr:colOff>299013</xdr:colOff>
      <xdr:row>23</xdr:row>
      <xdr:rowOff>19291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E0EE940-EF12-4F5C-969F-C9A11C73E7E6}"/>
            </a:ext>
          </a:extLst>
        </xdr:cNvPr>
        <xdr:cNvSpPr/>
      </xdr:nvSpPr>
      <xdr:spPr>
        <a:xfrm>
          <a:off x="577670" y="4017647"/>
          <a:ext cx="1544356" cy="24569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22860</xdr:colOff>
      <xdr:row>23</xdr:row>
      <xdr:rowOff>119527</xdr:rowOff>
    </xdr:from>
    <xdr:to>
      <xdr:col>2</xdr:col>
      <xdr:colOff>401421</xdr:colOff>
      <xdr:row>25</xdr:row>
      <xdr:rowOff>0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27E30BD-54F5-4397-9FD1-BFE1F4B25DFC}"/>
            </a:ext>
          </a:extLst>
        </xdr:cNvPr>
        <xdr:cNvSpPr/>
      </xdr:nvSpPr>
      <xdr:spPr>
        <a:xfrm>
          <a:off x="22860" y="4348627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16A6686B-CD8F-41D5-B8A0-632BAB389C86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D97B37DB-16D6-45EE-A3F9-D8DE4BBF2FE1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01-Nov-2025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F5F3B5D-C1AF-4F6F-9F8C-3F1CD94936DC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53D57A5F-5F18-4FA8-AA7B-E7CBF7087129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30-Nov-2025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39BE4752-AB22-48FC-825B-FECE92FB60D5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F13119E0-44AB-4AA3-BA63-F2BA7A88B437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November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243FD42E-484D-4892-BE0F-635902D18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2760B031-88F2-4BC8-B8B9-629FCF1F0FCC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A27D4C43-8C21-4069-A3C0-CD57BA32D0EB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D48BE9C-1DE1-493E-9C59-D2BB140DE896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40372A53-1F45-4B1B-833E-DBA33A363DA1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6E04E313-CC64-4725-8D66-3B8B3F56A388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F7D28708-DF52-412D-A8F8-FCA7683B2D8B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0</xdr:colOff>
      <xdr:row>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B4990FD-162A-4B8A-9D9D-028FFD5ED4DD}"/>
            </a:ext>
          </a:extLst>
        </xdr:cNvPr>
        <xdr:cNvSpPr/>
      </xdr:nvSpPr>
      <xdr:spPr>
        <a:xfrm>
          <a:off x="0" y="0"/>
          <a:ext cx="14462760" cy="37338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15240</xdr:rowOff>
    </xdr:from>
    <xdr:to>
      <xdr:col>2</xdr:col>
      <xdr:colOff>0</xdr:colOff>
      <xdr:row>27</xdr:row>
      <xdr:rowOff>7620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ED02BDAD-1C12-4C84-AEF9-F2A28D478643}"/>
            </a:ext>
          </a:extLst>
        </xdr:cNvPr>
        <xdr:cNvSpPr/>
      </xdr:nvSpPr>
      <xdr:spPr>
        <a:xfrm>
          <a:off x="0" y="198120"/>
          <a:ext cx="1219200" cy="4777740"/>
        </a:xfrm>
        <a:prstGeom prst="roundRect">
          <a:avLst>
            <a:gd name="adj" fmla="val 6667"/>
          </a:avLst>
        </a:prstGeom>
        <a:solidFill>
          <a:schemeClr val="tx1">
            <a:lumMod val="95000"/>
            <a:lumOff val="5000"/>
          </a:schemeClr>
        </a:solidFill>
        <a:ln>
          <a:noFill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166510</xdr:colOff>
      <xdr:row>2</xdr:row>
      <xdr:rowOff>65012</xdr:rowOff>
    </xdr:from>
    <xdr:to>
      <xdr:col>2</xdr:col>
      <xdr:colOff>231493</xdr:colOff>
      <xdr:row>3</xdr:row>
      <xdr:rowOff>115748</xdr:rowOff>
    </xdr:to>
    <xdr:sp macro="" textlink="">
      <xdr:nvSpPr>
        <xdr:cNvPr id="31" name="Rectangle: Rounded Corner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3382C-C984-4417-9177-3501B96BFDD1}"/>
            </a:ext>
          </a:extLst>
        </xdr:cNvPr>
        <xdr:cNvSpPr/>
      </xdr:nvSpPr>
      <xdr:spPr>
        <a:xfrm>
          <a:off x="166510" y="441189"/>
          <a:ext cx="1280325" cy="234002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January</a:t>
          </a:r>
        </a:p>
      </xdr:txBody>
    </xdr:sp>
    <xdr:clientData/>
  </xdr:twoCellAnchor>
  <xdr:twoCellAnchor>
    <xdr:from>
      <xdr:col>0</xdr:col>
      <xdr:colOff>6818</xdr:colOff>
      <xdr:row>4</xdr:row>
      <xdr:rowOff>39926</xdr:rowOff>
    </xdr:from>
    <xdr:to>
      <xdr:col>2</xdr:col>
      <xdr:colOff>385379</xdr:colOff>
      <xdr:row>5</xdr:row>
      <xdr:rowOff>103279</xdr:rowOff>
    </xdr:to>
    <xdr:sp macro="" textlink="">
      <xdr:nvSpPr>
        <xdr:cNvPr id="32" name="Rectangle: Rounded Corners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D0A141-815E-4A5E-87A0-C2406DFC86BC}"/>
            </a:ext>
          </a:extLst>
        </xdr:cNvPr>
        <xdr:cNvSpPr/>
      </xdr:nvSpPr>
      <xdr:spPr>
        <a:xfrm>
          <a:off x="6818" y="786686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February</a:t>
          </a:r>
        </a:p>
      </xdr:txBody>
    </xdr:sp>
    <xdr:clientData/>
  </xdr:twoCellAnchor>
  <xdr:twoCellAnchor>
    <xdr:from>
      <xdr:col>0</xdr:col>
      <xdr:colOff>20694</xdr:colOff>
      <xdr:row>8</xdr:row>
      <xdr:rowOff>11650</xdr:rowOff>
    </xdr:from>
    <xdr:to>
      <xdr:col>2</xdr:col>
      <xdr:colOff>399255</xdr:colOff>
      <xdr:row>9</xdr:row>
      <xdr:rowOff>75003</xdr:rowOff>
    </xdr:to>
    <xdr:sp macro="" textlink="">
      <xdr:nvSpPr>
        <xdr:cNvPr id="33" name="Rectangle: Rounded Corner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F80639-6ED4-4EAB-88D1-B10B72A898B1}"/>
            </a:ext>
          </a:extLst>
        </xdr:cNvPr>
        <xdr:cNvSpPr/>
      </xdr:nvSpPr>
      <xdr:spPr>
        <a:xfrm>
          <a:off x="20694" y="1497550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April</a:t>
          </a:r>
        </a:p>
      </xdr:txBody>
    </xdr:sp>
    <xdr:clientData/>
  </xdr:twoCellAnchor>
  <xdr:twoCellAnchor>
    <xdr:from>
      <xdr:col>0</xdr:col>
      <xdr:colOff>19331</xdr:colOff>
      <xdr:row>11</xdr:row>
      <xdr:rowOff>181494</xdr:rowOff>
    </xdr:from>
    <xdr:to>
      <xdr:col>2</xdr:col>
      <xdr:colOff>397892</xdr:colOff>
      <xdr:row>13</xdr:row>
      <xdr:rowOff>61967</xdr:rowOff>
    </xdr:to>
    <xdr:sp macro="" textlink="">
      <xdr:nvSpPr>
        <xdr:cNvPr id="34" name="Rectangle: Rounded Corners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402DAB-D067-4485-820E-0D5DB50C8CE9}"/>
            </a:ext>
          </a:extLst>
        </xdr:cNvPr>
        <xdr:cNvSpPr/>
      </xdr:nvSpPr>
      <xdr:spPr>
        <a:xfrm>
          <a:off x="19331" y="2216034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rgbClr val="7030A0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17967</xdr:colOff>
      <xdr:row>15</xdr:row>
      <xdr:rowOff>160838</xdr:rowOff>
    </xdr:from>
    <xdr:to>
      <xdr:col>2</xdr:col>
      <xdr:colOff>396528</xdr:colOff>
      <xdr:row>17</xdr:row>
      <xdr:rowOff>41311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9986445-576F-472B-8043-C9CE11990D33}"/>
            </a:ext>
          </a:extLst>
        </xdr:cNvPr>
        <xdr:cNvSpPr/>
      </xdr:nvSpPr>
      <xdr:spPr>
        <a:xfrm>
          <a:off x="17967" y="2926898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August</a:t>
          </a:r>
        </a:p>
      </xdr:txBody>
    </xdr:sp>
    <xdr:clientData/>
  </xdr:twoCellAnchor>
  <xdr:twoCellAnchor>
    <xdr:from>
      <xdr:col>0</xdr:col>
      <xdr:colOff>8984</xdr:colOff>
      <xdr:row>19</xdr:row>
      <xdr:rowOff>140183</xdr:rowOff>
    </xdr:from>
    <xdr:to>
      <xdr:col>2</xdr:col>
      <xdr:colOff>387545</xdr:colOff>
      <xdr:row>21</xdr:row>
      <xdr:rowOff>20656</xdr:rowOff>
    </xdr:to>
    <xdr:sp macro="" textlink="">
      <xdr:nvSpPr>
        <xdr:cNvPr id="36" name="Rectangle: Rounded Corners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B2E92D8-00F0-464E-9EBE-9D1EA98EAF69}"/>
            </a:ext>
          </a:extLst>
        </xdr:cNvPr>
        <xdr:cNvSpPr/>
      </xdr:nvSpPr>
      <xdr:spPr>
        <a:xfrm>
          <a:off x="8984" y="3637763"/>
          <a:ext cx="1597761" cy="246233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7030A0"/>
              </a:solidFill>
            </a:rPr>
            <a:t>Octumber</a:t>
          </a:r>
        </a:p>
      </xdr:txBody>
    </xdr:sp>
    <xdr:clientData/>
  </xdr:twoCellAnchor>
  <xdr:twoCellAnchor>
    <xdr:from>
      <xdr:col>0</xdr:col>
      <xdr:colOff>122608</xdr:colOff>
      <xdr:row>6</xdr:row>
      <xdr:rowOff>9180</xdr:rowOff>
    </xdr:from>
    <xdr:to>
      <xdr:col>2</xdr:col>
      <xdr:colOff>172714</xdr:colOff>
      <xdr:row>7</xdr:row>
      <xdr:rowOff>74526</xdr:rowOff>
    </xdr:to>
    <xdr:sp macro="" textlink="">
      <xdr:nvSpPr>
        <xdr:cNvPr id="37" name="Rectangle: Rounded Corners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C701C6-C7C8-4D09-9328-5681849680B9}"/>
            </a:ext>
          </a:extLst>
        </xdr:cNvPr>
        <xdr:cNvSpPr/>
      </xdr:nvSpPr>
      <xdr:spPr>
        <a:xfrm>
          <a:off x="122608" y="1129320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121525</xdr:colOff>
      <xdr:row>10</xdr:row>
      <xdr:rowOff>1958</xdr:rowOff>
    </xdr:from>
    <xdr:to>
      <xdr:col>2</xdr:col>
      <xdr:colOff>171631</xdr:colOff>
      <xdr:row>11</xdr:row>
      <xdr:rowOff>67304</xdr:rowOff>
    </xdr:to>
    <xdr:sp macro="" textlink="">
      <xdr:nvSpPr>
        <xdr:cNvPr id="38" name="Rectangle: Rounded Corners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883E5A-3BCE-41D6-BF44-5FAD078EA2D0}"/>
            </a:ext>
          </a:extLst>
        </xdr:cNvPr>
        <xdr:cNvSpPr/>
      </xdr:nvSpPr>
      <xdr:spPr>
        <a:xfrm>
          <a:off x="121525" y="185361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120441</xdr:colOff>
      <xdr:row>13</xdr:row>
      <xdr:rowOff>169935</xdr:rowOff>
    </xdr:from>
    <xdr:to>
      <xdr:col>2</xdr:col>
      <xdr:colOff>170547</xdr:colOff>
      <xdr:row>15</xdr:row>
      <xdr:rowOff>52401</xdr:rowOff>
    </xdr:to>
    <xdr:sp macro="" textlink="">
      <xdr:nvSpPr>
        <xdr:cNvPr id="39" name="Rectangle: Rounded Corners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01B6AA2-8EA5-47A0-BB3E-0E5469922F97}"/>
            </a:ext>
          </a:extLst>
        </xdr:cNvPr>
        <xdr:cNvSpPr/>
      </xdr:nvSpPr>
      <xdr:spPr>
        <a:xfrm>
          <a:off x="120441" y="2570235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Jully</a:t>
          </a:r>
        </a:p>
      </xdr:txBody>
    </xdr:sp>
    <xdr:clientData/>
  </xdr:twoCellAnchor>
  <xdr:twoCellAnchor>
    <xdr:from>
      <xdr:col>0</xdr:col>
      <xdr:colOff>113305</xdr:colOff>
      <xdr:row>17</xdr:row>
      <xdr:rowOff>155032</xdr:rowOff>
    </xdr:from>
    <xdr:to>
      <xdr:col>2</xdr:col>
      <xdr:colOff>163411</xdr:colOff>
      <xdr:row>19</xdr:row>
      <xdr:rowOff>37498</xdr:rowOff>
    </xdr:to>
    <xdr:sp macro="" textlink="">
      <xdr:nvSpPr>
        <xdr:cNvPr id="40" name="Rectangle: Rounded Corners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7EC2344-C0C0-4B00-AFE9-47E6208DE30F}"/>
            </a:ext>
          </a:extLst>
        </xdr:cNvPr>
        <xdr:cNvSpPr/>
      </xdr:nvSpPr>
      <xdr:spPr>
        <a:xfrm>
          <a:off x="113305" y="3286852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124328</xdr:colOff>
      <xdr:row>21</xdr:row>
      <xdr:rowOff>140128</xdr:rowOff>
    </xdr:from>
    <xdr:to>
      <xdr:col>2</xdr:col>
      <xdr:colOff>174434</xdr:colOff>
      <xdr:row>23</xdr:row>
      <xdr:rowOff>22594</xdr:rowOff>
    </xdr:to>
    <xdr:sp macro="" textlink="">
      <xdr:nvSpPr>
        <xdr:cNvPr id="41" name="Rectangle: Rounded Corners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D66AA8A-E995-4F06-826A-B22C473F9430}"/>
            </a:ext>
          </a:extLst>
        </xdr:cNvPr>
        <xdr:cNvSpPr/>
      </xdr:nvSpPr>
      <xdr:spPr>
        <a:xfrm>
          <a:off x="124328" y="4003468"/>
          <a:ext cx="1269306" cy="2482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1</xdr:col>
      <xdr:colOff>32505</xdr:colOff>
      <xdr:row>23</xdr:row>
      <xdr:rowOff>158109</xdr:rowOff>
    </xdr:from>
    <xdr:to>
      <xdr:col>3</xdr:col>
      <xdr:colOff>411066</xdr:colOff>
      <xdr:row>25</xdr:row>
      <xdr:rowOff>38582</xdr:rowOff>
    </xdr:to>
    <xdr:sp macro="" textlink="">
      <xdr:nvSpPr>
        <xdr:cNvPr id="42" name="Rectangle: Rounded Corners 4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041E650-E255-416D-972C-A7457A8A0F23}"/>
            </a:ext>
          </a:extLst>
        </xdr:cNvPr>
        <xdr:cNvSpPr/>
      </xdr:nvSpPr>
      <xdr:spPr>
        <a:xfrm>
          <a:off x="640176" y="4402160"/>
          <a:ext cx="1593903" cy="247004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December</a:t>
          </a:r>
        </a:p>
      </xdr:txBody>
    </xdr:sp>
    <xdr:clientData/>
  </xdr:twoCellAnchor>
  <xdr:twoCellAnchor>
    <xdr:from>
      <xdr:col>4</xdr:col>
      <xdr:colOff>15240</xdr:colOff>
      <xdr:row>0</xdr:row>
      <xdr:rowOff>76200</xdr:rowOff>
    </xdr:from>
    <xdr:to>
      <xdr:col>5</xdr:col>
      <xdr:colOff>251460</xdr:colOff>
      <xdr:row>1</xdr:row>
      <xdr:rowOff>144780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AF3AFF7-610A-415E-9D16-E099FB856677}"/>
            </a:ext>
          </a:extLst>
        </xdr:cNvPr>
        <xdr:cNvSpPr/>
      </xdr:nvSpPr>
      <xdr:spPr>
        <a:xfrm>
          <a:off x="245364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From</a:t>
          </a:r>
        </a:p>
      </xdr:txBody>
    </xdr:sp>
    <xdr:clientData/>
  </xdr:twoCellAnchor>
  <xdr:twoCellAnchor>
    <xdr:from>
      <xdr:col>5</xdr:col>
      <xdr:colOff>251460</xdr:colOff>
      <xdr:row>0</xdr:row>
      <xdr:rowOff>76200</xdr:rowOff>
    </xdr:from>
    <xdr:to>
      <xdr:col>6</xdr:col>
      <xdr:colOff>297180</xdr:colOff>
      <xdr:row>1</xdr:row>
      <xdr:rowOff>144780</xdr:rowOff>
    </xdr:to>
    <xdr:sp macro="" textlink="$F$4">
      <xdr:nvSpPr>
        <xdr:cNvPr id="44" name="Rectangle 43">
          <a:extLst>
            <a:ext uri="{FF2B5EF4-FFF2-40B4-BE49-F238E27FC236}">
              <a16:creationId xmlns:a16="http://schemas.microsoft.com/office/drawing/2014/main" id="{C03A359E-2C9F-4152-92BD-A4B6810B61AA}"/>
            </a:ext>
          </a:extLst>
        </xdr:cNvPr>
        <xdr:cNvSpPr/>
      </xdr:nvSpPr>
      <xdr:spPr>
        <a:xfrm>
          <a:off x="307848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3231DA6-F94A-4895-958F-0C4BC13B87D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01-Dec-2025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358140</xdr:colOff>
      <xdr:row>0</xdr:row>
      <xdr:rowOff>76200</xdr:rowOff>
    </xdr:from>
    <xdr:to>
      <xdr:col>7</xdr:col>
      <xdr:colOff>198120</xdr:colOff>
      <xdr:row>1</xdr:row>
      <xdr:rowOff>144780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4773581-AA3A-4A26-A80A-A8793CFECE04}"/>
            </a:ext>
          </a:extLst>
        </xdr:cNvPr>
        <xdr:cNvSpPr/>
      </xdr:nvSpPr>
      <xdr:spPr>
        <a:xfrm>
          <a:off x="4191000" y="76200"/>
          <a:ext cx="624840" cy="25146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</a:rPr>
            <a:t>To</a:t>
          </a:r>
        </a:p>
      </xdr:txBody>
    </xdr:sp>
    <xdr:clientData/>
  </xdr:twoCellAnchor>
  <xdr:twoCellAnchor>
    <xdr:from>
      <xdr:col>7</xdr:col>
      <xdr:colOff>198120</xdr:colOff>
      <xdr:row>0</xdr:row>
      <xdr:rowOff>76200</xdr:rowOff>
    </xdr:from>
    <xdr:to>
      <xdr:col>9</xdr:col>
      <xdr:colOff>137160</xdr:colOff>
      <xdr:row>1</xdr:row>
      <xdr:rowOff>144780</xdr:rowOff>
    </xdr:to>
    <xdr:sp macro="" textlink="$J$4">
      <xdr:nvSpPr>
        <xdr:cNvPr id="46" name="Rectangle 45">
          <a:extLst>
            <a:ext uri="{FF2B5EF4-FFF2-40B4-BE49-F238E27FC236}">
              <a16:creationId xmlns:a16="http://schemas.microsoft.com/office/drawing/2014/main" id="{FEDB9E67-EB89-4A7F-A691-D44C79696C41}"/>
            </a:ext>
          </a:extLst>
        </xdr:cNvPr>
        <xdr:cNvSpPr/>
      </xdr:nvSpPr>
      <xdr:spPr>
        <a:xfrm>
          <a:off x="4815840" y="76200"/>
          <a:ext cx="1051560" cy="2514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4C6BF13-4BD5-4659-870A-917F530526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31-Dec-2025</a:t>
          </a:fld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42046</xdr:colOff>
      <xdr:row>0</xdr:row>
      <xdr:rowOff>76200</xdr:rowOff>
    </xdr:from>
    <xdr:to>
      <xdr:col>24</xdr:col>
      <xdr:colOff>183614</xdr:colOff>
      <xdr:row>1</xdr:row>
      <xdr:rowOff>137712</xdr:rowOff>
    </xdr:to>
    <xdr:sp macro="" textlink="$J$4">
      <xdr:nvSpPr>
        <xdr:cNvPr id="47" name="Rectangle 46">
          <a:extLst>
            <a:ext uri="{FF2B5EF4-FFF2-40B4-BE49-F238E27FC236}">
              <a16:creationId xmlns:a16="http://schemas.microsoft.com/office/drawing/2014/main" id="{8FDED9DB-B7E6-4230-86A2-DC44651A7E1E}"/>
            </a:ext>
          </a:extLst>
        </xdr:cNvPr>
        <xdr:cNvSpPr/>
      </xdr:nvSpPr>
      <xdr:spPr>
        <a:xfrm>
          <a:off x="6107566" y="76200"/>
          <a:ext cx="4195408" cy="244392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            Dashboard</a:t>
          </a:r>
          <a:r>
            <a:rPr lang="en-IN" sz="1400" b="1" baseline="0">
              <a:solidFill>
                <a:schemeClr val="tx1"/>
              </a:solidFill>
            </a:rPr>
            <a:t> For The Month Of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27542</xdr:colOff>
      <xdr:row>0</xdr:row>
      <xdr:rowOff>82626</xdr:rowOff>
    </xdr:from>
    <xdr:to>
      <xdr:col>24</xdr:col>
      <xdr:colOff>110169</xdr:colOff>
      <xdr:row>1</xdr:row>
      <xdr:rowOff>128531</xdr:rowOff>
    </xdr:to>
    <xdr:sp macro="" textlink="$G$4">
      <xdr:nvSpPr>
        <xdr:cNvPr id="48" name="TextBox 47">
          <a:extLst>
            <a:ext uri="{FF2B5EF4-FFF2-40B4-BE49-F238E27FC236}">
              <a16:creationId xmlns:a16="http://schemas.microsoft.com/office/drawing/2014/main" id="{3860066C-DE89-41A1-913C-06418BC10582}"/>
            </a:ext>
          </a:extLst>
        </xdr:cNvPr>
        <xdr:cNvSpPr txBox="1"/>
      </xdr:nvSpPr>
      <xdr:spPr>
        <a:xfrm>
          <a:off x="8897222" y="82626"/>
          <a:ext cx="1332307" cy="22878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fld id="{684E4FED-BD27-49CF-922B-7B7D0029FE48}" type="TxLink">
            <a:rPr lang="en-US" sz="16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l"/>
            <a:t>December</a:t>
          </a:fld>
          <a:endParaRPr lang="en-IN" sz="16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220338</xdr:colOff>
      <xdr:row>0</xdr:row>
      <xdr:rowOff>91806</xdr:rowOff>
    </xdr:from>
    <xdr:to>
      <xdr:col>11</xdr:col>
      <xdr:colOff>146893</xdr:colOff>
      <xdr:row>1</xdr:row>
      <xdr:rowOff>128531</xdr:rowOff>
    </xdr:to>
    <xdr:pic>
      <xdr:nvPicPr>
        <xdr:cNvPr id="49" name="Graphic 48" descr="Magnifying glass with solid fill">
          <a:extLst>
            <a:ext uri="{FF2B5EF4-FFF2-40B4-BE49-F238E27FC236}">
              <a16:creationId xmlns:a16="http://schemas.microsoft.com/office/drawing/2014/main" id="{ADECB554-22A9-4EEE-ABCD-FCF899DD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5858" y="91806"/>
          <a:ext cx="216115" cy="21960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0</xdr:row>
      <xdr:rowOff>144780</xdr:rowOff>
    </xdr:from>
    <xdr:to>
      <xdr:col>27</xdr:col>
      <xdr:colOff>190500</xdr:colOff>
      <xdr:row>1</xdr:row>
      <xdr:rowOff>83820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34DE3609-4C01-40E3-9B43-9DAD82858FEE}"/>
            </a:ext>
          </a:extLst>
        </xdr:cNvPr>
        <xdr:cNvSpPr/>
      </xdr:nvSpPr>
      <xdr:spPr>
        <a:xfrm>
          <a:off x="10972800" y="144780"/>
          <a:ext cx="114300" cy="1219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271383</xdr:colOff>
      <xdr:row>0</xdr:row>
      <xdr:rowOff>82626</xdr:rowOff>
    </xdr:from>
    <xdr:to>
      <xdr:col>30</xdr:col>
      <xdr:colOff>38101</xdr:colOff>
      <xdr:row>1</xdr:row>
      <xdr:rowOff>129540</xdr:rowOff>
    </xdr:to>
    <xdr:sp macro="" textlink="$G$4">
      <xdr:nvSpPr>
        <xdr:cNvPr id="51" name="TextBox 50">
          <a:extLst>
            <a:ext uri="{FF2B5EF4-FFF2-40B4-BE49-F238E27FC236}">
              <a16:creationId xmlns:a16="http://schemas.microsoft.com/office/drawing/2014/main" id="{22A2FEB2-B2FF-4B52-A63E-7A65B59381B8}"/>
            </a:ext>
          </a:extLst>
        </xdr:cNvPr>
        <xdr:cNvSpPr txBox="1"/>
      </xdr:nvSpPr>
      <xdr:spPr>
        <a:xfrm>
          <a:off x="1116798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Present</a:t>
          </a:r>
        </a:p>
      </xdr:txBody>
    </xdr:sp>
    <xdr:clientData/>
  </xdr:twoCellAnchor>
  <xdr:twoCellAnchor>
    <xdr:from>
      <xdr:col>30</xdr:col>
      <xdr:colOff>99060</xdr:colOff>
      <xdr:row>0</xdr:row>
      <xdr:rowOff>144780</xdr:rowOff>
    </xdr:from>
    <xdr:to>
      <xdr:col>30</xdr:col>
      <xdr:colOff>213360</xdr:colOff>
      <xdr:row>1</xdr:row>
      <xdr:rowOff>83820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E5EB236-2470-4685-9DAC-F253DDB80D2F}"/>
            </a:ext>
          </a:extLst>
        </xdr:cNvPr>
        <xdr:cNvSpPr/>
      </xdr:nvSpPr>
      <xdr:spPr>
        <a:xfrm>
          <a:off x="11910060" y="144780"/>
          <a:ext cx="114300" cy="1219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294243</xdr:colOff>
      <xdr:row>0</xdr:row>
      <xdr:rowOff>82626</xdr:rowOff>
    </xdr:from>
    <xdr:to>
      <xdr:col>33</xdr:col>
      <xdr:colOff>114301</xdr:colOff>
      <xdr:row>1</xdr:row>
      <xdr:rowOff>129540</xdr:rowOff>
    </xdr:to>
    <xdr:sp macro="" textlink="$G$4">
      <xdr:nvSpPr>
        <xdr:cNvPr id="53" name="TextBox 52">
          <a:extLst>
            <a:ext uri="{FF2B5EF4-FFF2-40B4-BE49-F238E27FC236}">
              <a16:creationId xmlns:a16="http://schemas.microsoft.com/office/drawing/2014/main" id="{FEE85536-D387-400E-90EC-FDE7BB18B9B8}"/>
            </a:ext>
          </a:extLst>
        </xdr:cNvPr>
        <xdr:cNvSpPr txBox="1"/>
      </xdr:nvSpPr>
      <xdr:spPr>
        <a:xfrm>
          <a:off x="1210524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Absent</a:t>
          </a:r>
        </a:p>
      </xdr:txBody>
    </xdr:sp>
    <xdr:clientData/>
  </xdr:twoCellAnchor>
  <xdr:twoCellAnchor>
    <xdr:from>
      <xdr:col>33</xdr:col>
      <xdr:colOff>175260</xdr:colOff>
      <xdr:row>0</xdr:row>
      <xdr:rowOff>144780</xdr:rowOff>
    </xdr:from>
    <xdr:to>
      <xdr:col>34</xdr:col>
      <xdr:colOff>38100</xdr:colOff>
      <xdr:row>1</xdr:row>
      <xdr:rowOff>83820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927DFECA-46E1-4371-A732-03A97A2FD7CD}"/>
            </a:ext>
          </a:extLst>
        </xdr:cNvPr>
        <xdr:cNvSpPr/>
      </xdr:nvSpPr>
      <xdr:spPr>
        <a:xfrm>
          <a:off x="12847320" y="144780"/>
          <a:ext cx="114300" cy="12192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118983</xdr:colOff>
      <xdr:row>0</xdr:row>
      <xdr:rowOff>82626</xdr:rowOff>
    </xdr:from>
    <xdr:to>
      <xdr:col>36</xdr:col>
      <xdr:colOff>167641</xdr:colOff>
      <xdr:row>1</xdr:row>
      <xdr:rowOff>129540</xdr:rowOff>
    </xdr:to>
    <xdr:sp macro="" textlink="$G$4">
      <xdr:nvSpPr>
        <xdr:cNvPr id="55" name="TextBox 54">
          <a:extLst>
            <a:ext uri="{FF2B5EF4-FFF2-40B4-BE49-F238E27FC236}">
              <a16:creationId xmlns:a16="http://schemas.microsoft.com/office/drawing/2014/main" id="{F6E5528E-FCB0-4990-91B0-5A176AE9C71E}"/>
            </a:ext>
          </a:extLst>
        </xdr:cNvPr>
        <xdr:cNvSpPr txBox="1"/>
      </xdr:nvSpPr>
      <xdr:spPr>
        <a:xfrm>
          <a:off x="13042503" y="82626"/>
          <a:ext cx="681118" cy="2297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Leave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CF64F-75DC-43E9-B415-ACA1AE2797DA}" name="JanReport" displayName="JanReport" ref="AQ6:BE26" headerRowDxfId="299" headerRowBorderDxfId="298" tableBorderDxfId="297">
  <autoFilter ref="AQ6:BE26" xr:uid="{8BFCF64F-75DC-43E9-B415-ACA1AE2797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E7E6CBC-14BE-40A6-82C2-421629181248}" name="S NO." totalsRowLabel="Total" dataDxfId="296" totalsRowDxfId="295"/>
    <tableColumn id="2" xr3:uid="{090610C0-B308-4B93-86D0-FD80B0613553}" name="Name" dataDxfId="294" totalsRowDxfId="293"/>
    <tableColumn id="16" xr3:uid="{72472616-0D78-4AAB-A15F-458A4324FA0A}" name="Month" dataDxfId="292" totalsRowDxfId="291">
      <calculatedColumnFormula>$G$4</calculatedColumnFormula>
    </tableColumn>
    <tableColumn id="3" xr3:uid="{E4A03E80-2E54-4675-BE66-24FC5181CF61}" name="Employee Id" dataDxfId="290" totalsRowDxfId="289"/>
    <tableColumn id="4" xr3:uid="{066CFF2F-FBB3-483F-945F-2587501DE0AA}" name="Present " dataDxfId="288">
      <calculatedColumnFormula>COUNTIF($I7:$AM7,"P")</calculatedColumnFormula>
    </tableColumn>
    <tableColumn id="5" xr3:uid="{CC8E0B7A-CE99-489C-BE9B-2F9F3B8BC953}" name="Abesent" dataDxfId="287">
      <calculatedColumnFormula>COUNTIF($I7:$AM7,"A")</calculatedColumnFormula>
    </tableColumn>
    <tableColumn id="6" xr3:uid="{04D53154-8FCB-49BF-8F97-D7CAE09F16DA}" name="Leave" dataDxfId="286">
      <calculatedColumnFormula>COUNTIF($I7:$AM7,"L")</calculatedColumnFormula>
    </tableColumn>
    <tableColumn id="7" xr3:uid="{0A8637C6-9D1E-46BA-AD05-20CB2D95C064}" name="WeekOff" dataDxfId="285">
      <calculatedColumnFormula>$H$7</calculatedColumnFormula>
    </tableColumn>
    <tableColumn id="8" xr3:uid="{45E13C73-06EF-4EA7-90A8-BB0B4C80DB64}" name="Days" dataDxfId="284">
      <calculatedColumnFormula>$H$4</calculatedColumnFormula>
    </tableColumn>
    <tableColumn id="9" xr3:uid="{FD311B2E-74B7-475B-A03B-F02053787111}" name="PaidDays" dataDxfId="283">
      <calculatedColumnFormula>JanReport[[#This Row],[Days]]-JanReport[[#This Row],[Abesent]]</calculatedColumnFormula>
    </tableColumn>
    <tableColumn id="10" xr3:uid="{E8870F33-C469-4750-87C6-62711D6C3B5B}" name="Salary" dataDxfId="282" dataCellStyle="Comma"/>
    <tableColumn id="11" xr3:uid="{27B91363-4ECF-441F-B48E-1EE307EE7449}" name="PerDaySalary" dataDxfId="281">
      <calculatedColumnFormula>JanReport[[#This Row],[Salary]]/JanReport[[#This Row],[Days]]</calculatedColumnFormula>
    </tableColumn>
    <tableColumn id="12" xr3:uid="{203D54E6-2211-4354-9BDD-1F823122556C}" name="Deduction" dataDxfId="280">
      <calculatedColumnFormula>JanReport[[#This Row],[PerDaySalary]]*JanReport[[#This Row],[Abesent]]</calculatedColumnFormula>
    </tableColumn>
    <tableColumn id="13" xr3:uid="{BC338594-6A69-41E7-88F5-34543EC199E2}" name="Total Salary" totalsRowFunction="count" dataDxfId="279">
      <calculatedColumnFormula>JanReport[[#This Row],[Salary]]-JanReport[[#This Row],[Deduction]]</calculatedColumnFormula>
    </tableColumn>
    <tableColumn id="14" xr3:uid="{638A555E-A531-42F9-9E79-33DA1A74906C}" name="Sparkling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5977D3B-38EB-4A01-8A9D-59F4B8DC7C41}" name="JanReport14" displayName="JanReport14" ref="AQ6:BE26" headerRowDxfId="278" headerRowBorderDxfId="277" tableBorderDxfId="276">
  <autoFilter ref="AQ6:BE26" xr:uid="{B5977D3B-38EB-4A01-8A9D-59F4B8DC7C41}"/>
  <tableColumns count="15">
    <tableColumn id="1" xr3:uid="{22F52A54-CE02-4544-82ED-BFFE81C5BEB7}" name="S NO." totalsRowLabel="Total" dataDxfId="275" totalsRowDxfId="274"/>
    <tableColumn id="2" xr3:uid="{D8ACEB17-968E-45A5-8CFC-A62E89EE5CA0}" name="Name" dataDxfId="273" totalsRowDxfId="272"/>
    <tableColumn id="16" xr3:uid="{DBB07B18-6C6B-4567-BDBF-96F0B78F105E}" name="Month" dataDxfId="271" totalsRowDxfId="270">
      <calculatedColumnFormula>$G$4</calculatedColumnFormula>
    </tableColumn>
    <tableColumn id="3" xr3:uid="{3B8EE72D-FFD9-4F5E-B9BF-0FF969F513B0}" name="Employee Id" dataDxfId="269" totalsRowDxfId="268"/>
    <tableColumn id="4" xr3:uid="{89210A04-1C0D-45DE-9D52-3BE26FAC2881}" name="Present " dataDxfId="267">
      <calculatedColumnFormula>COUNTIF($I7:$AM7,"P")</calculatedColumnFormula>
    </tableColumn>
    <tableColumn id="5" xr3:uid="{F2CD0CBB-48F5-4239-9FCF-41601A05B33E}" name="Abesent" dataDxfId="266">
      <calculatedColumnFormula>COUNTIF($I7:$AM7,"A")</calculatedColumnFormula>
    </tableColumn>
    <tableColumn id="6" xr3:uid="{2B31A09A-CA95-4A68-BEC4-521AC8975C5B}" name="Leave" dataDxfId="265">
      <calculatedColumnFormula>COUNTIF($I7:$AM7,"L")</calculatedColumnFormula>
    </tableColumn>
    <tableColumn id="7" xr3:uid="{8DB12F5C-F6AA-420D-988A-601F5F49249B}" name="WeekOff" dataDxfId="264">
      <calculatedColumnFormula>$H$7</calculatedColumnFormula>
    </tableColumn>
    <tableColumn id="8" xr3:uid="{D2F39E37-8AB2-49CC-85C7-3BD1EBF73C82}" name="Days" dataDxfId="263">
      <calculatedColumnFormula>$H$4</calculatedColumnFormula>
    </tableColumn>
    <tableColumn id="9" xr3:uid="{1E61DB82-15F8-4997-B304-2FA09FE5A6A3}" name="PaidDays" dataDxfId="262">
      <calculatedColumnFormula>JanReport14[[#This Row],[Days]]-JanReport14[[#This Row],[Abesent]]</calculatedColumnFormula>
    </tableColumn>
    <tableColumn id="10" xr3:uid="{44985DFD-C32C-4352-850A-CC6FB7541C40}" name="Salary" dataDxfId="261" dataCellStyle="Comma"/>
    <tableColumn id="11" xr3:uid="{BD0F18D7-49B7-4938-BCFE-23B3723A5025}" name="PerDaySalary" dataDxfId="260">
      <calculatedColumnFormula>JanReport14[[#This Row],[Salary]]/JanReport14[[#This Row],[Days]]</calculatedColumnFormula>
    </tableColumn>
    <tableColumn id="12" xr3:uid="{B7E839CE-A073-4C73-82D7-4F8378A1388A}" name="Deduction" dataDxfId="259">
      <calculatedColumnFormula>JanReport14[[#This Row],[PerDaySalary]]*JanReport14[[#This Row],[Abesent]]</calculatedColumnFormula>
    </tableColumn>
    <tableColumn id="13" xr3:uid="{63D1DC5E-34AE-464E-A0B1-A49977675467}" name="Total Salary" totalsRowFunction="count" dataDxfId="258">
      <calculatedColumnFormula>JanReport14[[#This Row],[Salary]]-JanReport14[[#This Row],[Deduction]]</calculatedColumnFormula>
    </tableColumn>
    <tableColumn id="14" xr3:uid="{690D836F-AAAE-4451-8B1F-C5B383EC4C84}" name="Sparkling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EC684C5-7484-4780-8CDB-57A106E14D6F}" name="JanReport15" displayName="JanReport15" ref="AQ6:BE26" headerRowDxfId="257" headerRowBorderDxfId="256" tableBorderDxfId="255">
  <autoFilter ref="AQ6:BE26" xr:uid="{2EC684C5-7484-4780-8CDB-57A106E14D6F}"/>
  <tableColumns count="15">
    <tableColumn id="1" xr3:uid="{F2B02B0E-25B9-4E81-ACA9-83D04D0798CB}" name="S NO." totalsRowLabel="Total" dataDxfId="254" totalsRowDxfId="253"/>
    <tableColumn id="2" xr3:uid="{B149BCDC-6342-4335-9633-29914DA2C556}" name="Name" dataDxfId="252" totalsRowDxfId="251"/>
    <tableColumn id="16" xr3:uid="{113FBA0A-DB96-486E-AE50-1CBF43860B61}" name="Month" dataDxfId="250" totalsRowDxfId="249">
      <calculatedColumnFormula>$G$4</calculatedColumnFormula>
    </tableColumn>
    <tableColumn id="3" xr3:uid="{BA5AF77B-278E-4BAC-8EB5-26CB41E439AC}" name="Employee Id" dataDxfId="248" totalsRowDxfId="247"/>
    <tableColumn id="4" xr3:uid="{8B80F574-D435-4DB3-B26E-CD89453E4577}" name="Present " dataDxfId="246">
      <calculatedColumnFormula>COUNTIF($I7:$AM7,"P")</calculatedColumnFormula>
    </tableColumn>
    <tableColumn id="5" xr3:uid="{485DE385-079C-46DF-94F5-CDC407EB62BD}" name="Abesent" dataDxfId="245">
      <calculatedColumnFormula>COUNTIF($I7:$AM7,"A")</calculatedColumnFormula>
    </tableColumn>
    <tableColumn id="6" xr3:uid="{DBD8050E-5126-459A-B5BF-6C3EFB398F53}" name="Leave" dataDxfId="244">
      <calculatedColumnFormula>COUNTIF($I7:$AM7,"L")</calculatedColumnFormula>
    </tableColumn>
    <tableColumn id="7" xr3:uid="{5A6CC964-EDEE-41DE-806F-7A277BC738D0}" name="WeekOff" dataDxfId="243">
      <calculatedColumnFormula>$H$7</calculatedColumnFormula>
    </tableColumn>
    <tableColumn id="8" xr3:uid="{41627EB5-A5DE-4FF3-BB73-537C5218BC4E}" name="Days" dataDxfId="242">
      <calculatedColumnFormula>$H$4</calculatedColumnFormula>
    </tableColumn>
    <tableColumn id="9" xr3:uid="{EF5BB261-6680-4F2D-9B0D-F707F677E29B}" name="PaidDays" dataDxfId="241">
      <calculatedColumnFormula>JanReport15[[#This Row],[Days]]-JanReport15[[#This Row],[Abesent]]</calculatedColumnFormula>
    </tableColumn>
    <tableColumn id="10" xr3:uid="{C2401B9B-B4C7-4CD4-A4E8-EA3F8B962BD3}" name="Salary" dataDxfId="240" dataCellStyle="Comma"/>
    <tableColumn id="11" xr3:uid="{74817CE3-C0F5-4D6D-8113-7392E88AECA1}" name="PerDaySalary" dataDxfId="239">
      <calculatedColumnFormula>JanReport15[[#This Row],[Salary]]/JanReport15[[#This Row],[Days]]</calculatedColumnFormula>
    </tableColumn>
    <tableColumn id="12" xr3:uid="{177D85E2-1E32-41EB-931A-8D30A7052A40}" name="Deduction" dataDxfId="238">
      <calculatedColumnFormula>JanReport15[[#This Row],[PerDaySalary]]*JanReport15[[#This Row],[Abesent]]</calculatedColumnFormula>
    </tableColumn>
    <tableColumn id="13" xr3:uid="{99D3E8D2-B5D1-4428-8136-491C3B9BE240}" name="Total Salary" totalsRowFunction="count" dataDxfId="237">
      <calculatedColumnFormula>JanReport15[[#This Row],[Salary]]-JanReport15[[#This Row],[Deduction]]</calculatedColumnFormula>
    </tableColumn>
    <tableColumn id="14" xr3:uid="{7B0A24BA-3088-4E5F-BD77-F542728C7138}" name="Sparkling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B420F6A-0DE6-4566-BB6C-14A96830A657}" name="JanReport16" displayName="JanReport16" ref="AQ6:BE26" headerRowDxfId="236" headerRowBorderDxfId="235" tableBorderDxfId="234">
  <autoFilter ref="AQ6:BE26" xr:uid="{3B420F6A-0DE6-4566-BB6C-14A96830A657}"/>
  <tableColumns count="15">
    <tableColumn id="1" xr3:uid="{B073A57E-D2AD-42E6-932A-6857CE8BA457}" name="S NO." totalsRowLabel="Total" dataDxfId="233" totalsRowDxfId="232"/>
    <tableColumn id="2" xr3:uid="{FF5C421B-364E-472B-9D44-0030AFA973ED}" name="Name" dataDxfId="231" totalsRowDxfId="230"/>
    <tableColumn id="16" xr3:uid="{52B5DCB9-CEA4-4F52-8F1A-D34F3F4DF34D}" name="Month" dataDxfId="229" totalsRowDxfId="228">
      <calculatedColumnFormula>$G$4</calculatedColumnFormula>
    </tableColumn>
    <tableColumn id="3" xr3:uid="{F2FFE2CF-BAAD-49A6-AD69-35B2BB6F6EA3}" name="Employee Id" dataDxfId="227" totalsRowDxfId="226"/>
    <tableColumn id="4" xr3:uid="{F997012E-7FAE-4D56-913B-D5024A7205B3}" name="Present " dataDxfId="225">
      <calculatedColumnFormula>COUNTIF($I7:$AM7,"P")</calculatedColumnFormula>
    </tableColumn>
    <tableColumn id="5" xr3:uid="{EDB564FB-793C-4952-AB89-801DD335BE38}" name="Abesent" dataDxfId="224">
      <calculatedColumnFormula>COUNTIF($I7:$AM7,"A")</calculatedColumnFormula>
    </tableColumn>
    <tableColumn id="6" xr3:uid="{65B1D5C5-AFE5-4D08-B689-67364B7DDFCE}" name="Leave" dataDxfId="223">
      <calculatedColumnFormula>COUNTIF($I7:$AM7,"L")</calculatedColumnFormula>
    </tableColumn>
    <tableColumn id="7" xr3:uid="{E3596E2C-E5D2-4428-9C40-4BECF72FF1FF}" name="WeekOff" dataDxfId="222">
      <calculatedColumnFormula>$H$7</calculatedColumnFormula>
    </tableColumn>
    <tableColumn id="8" xr3:uid="{002B6319-7B33-4F26-ACF0-D0E2808964EE}" name="Days" dataDxfId="221">
      <calculatedColumnFormula>$H$4</calculatedColumnFormula>
    </tableColumn>
    <tableColumn id="9" xr3:uid="{827AEF38-2ABB-4E0E-B507-328084A3D520}" name="PaidDays" dataDxfId="220">
      <calculatedColumnFormula>JanReport16[[#This Row],[Days]]-JanReport16[[#This Row],[Abesent]]</calculatedColumnFormula>
    </tableColumn>
    <tableColumn id="10" xr3:uid="{21A20985-6DE9-4C98-A9EA-1D8EF9CD32C8}" name="Salary" dataDxfId="219" dataCellStyle="Comma"/>
    <tableColumn id="11" xr3:uid="{20DB4A20-E7C6-47F6-A2C1-44AE437A846C}" name="PerDaySalary" dataDxfId="218">
      <calculatedColumnFormula>JanReport16[[#This Row],[Salary]]/JanReport16[[#This Row],[Days]]</calculatedColumnFormula>
    </tableColumn>
    <tableColumn id="12" xr3:uid="{A12E1A90-6D28-4ECB-892D-A99113EE8A6A}" name="Deduction" dataDxfId="217">
      <calculatedColumnFormula>JanReport16[[#This Row],[PerDaySalary]]*JanReport16[[#This Row],[Abesent]]</calculatedColumnFormula>
    </tableColumn>
    <tableColumn id="13" xr3:uid="{D9AADDC3-F48E-40B8-A1A3-C7F4C9BA7D3A}" name="Total Salary" totalsRowFunction="count" dataDxfId="216">
      <calculatedColumnFormula>JanReport16[[#This Row],[Salary]]-JanReport16[[#This Row],[Deduction]]</calculatedColumnFormula>
    </tableColumn>
    <tableColumn id="14" xr3:uid="{01CC0B10-80DC-423E-BD91-E9A38C246E3C}" name="Sparkling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97D37EF-7565-41EA-99B8-8130E80867DF}" name="JanReport17" displayName="JanReport17" ref="AQ6:BE26" headerRowDxfId="215" headerRowBorderDxfId="214" tableBorderDxfId="213">
  <autoFilter ref="AQ6:BE26" xr:uid="{397D37EF-7565-41EA-99B8-8130E80867DF}"/>
  <tableColumns count="15">
    <tableColumn id="1" xr3:uid="{D32E08B6-D173-43B0-B809-128A3CA1DEEC}" name="S NO." totalsRowLabel="Total" dataDxfId="212" totalsRowDxfId="211"/>
    <tableColumn id="2" xr3:uid="{9949723F-5F6D-4385-8CB3-01561A83DC11}" name="Name" dataDxfId="210" totalsRowDxfId="209"/>
    <tableColumn id="16" xr3:uid="{E097EC9C-51B3-4AEF-B5E5-2C6A56F2D29B}" name="Month" dataDxfId="208" totalsRowDxfId="207">
      <calculatedColumnFormula>$G$4</calculatedColumnFormula>
    </tableColumn>
    <tableColumn id="3" xr3:uid="{F7F1F9AF-5B74-4308-9889-6353E910F35F}" name="Employee Id" dataDxfId="206" totalsRowDxfId="205"/>
    <tableColumn id="4" xr3:uid="{A0EC26C7-BC0A-4EF9-9839-87BC271FDA0C}" name="Present " dataDxfId="204">
      <calculatedColumnFormula>COUNTIF($I7:$AM7,"P")</calculatedColumnFormula>
    </tableColumn>
    <tableColumn id="5" xr3:uid="{8A69B7E6-B37D-486E-B067-06D4906F0895}" name="Abesent" dataDxfId="203">
      <calculatedColumnFormula>COUNTIF($I7:$AM7,"A")</calculatedColumnFormula>
    </tableColumn>
    <tableColumn id="6" xr3:uid="{42B1659C-DA0B-4BB2-A9AA-8C51FEFE56E9}" name="Leave" dataDxfId="202">
      <calculatedColumnFormula>COUNTIF($I7:$AM7,"L")</calculatedColumnFormula>
    </tableColumn>
    <tableColumn id="7" xr3:uid="{3F801176-D751-4564-9E17-27D359249B92}" name="WeekOff" dataDxfId="201">
      <calculatedColumnFormula>$H$7</calculatedColumnFormula>
    </tableColumn>
    <tableColumn id="8" xr3:uid="{E3912C7B-9981-4B68-B624-8FC370CF1432}" name="Days" dataDxfId="200">
      <calculatedColumnFormula>$H$4</calculatedColumnFormula>
    </tableColumn>
    <tableColumn id="9" xr3:uid="{DC28C052-113A-401F-8ED0-974CF040C9B2}" name="PaidDays" dataDxfId="199">
      <calculatedColumnFormula>JanReport17[[#This Row],[Days]]-JanReport17[[#This Row],[Abesent]]</calculatedColumnFormula>
    </tableColumn>
    <tableColumn id="10" xr3:uid="{078B0E5D-5EEB-42ED-BA60-77FE68310B01}" name="Salary" dataDxfId="198" dataCellStyle="Comma"/>
    <tableColumn id="11" xr3:uid="{CB7E75F6-9E0D-448C-B904-BAEFB9D3B05B}" name="PerDaySalary" dataDxfId="197">
      <calculatedColumnFormula>JanReport17[[#This Row],[Salary]]/JanReport17[[#This Row],[Days]]</calculatedColumnFormula>
    </tableColumn>
    <tableColumn id="12" xr3:uid="{E1908C40-2440-4989-90E2-B2AA3C8A4E39}" name="Deduction" dataDxfId="196">
      <calculatedColumnFormula>JanReport17[[#This Row],[PerDaySalary]]*JanReport17[[#This Row],[Abesent]]</calculatedColumnFormula>
    </tableColumn>
    <tableColumn id="13" xr3:uid="{F85F0FED-52BD-4EAB-B13C-5FD29BD8927E}" name="Total Salary" totalsRowFunction="count" dataDxfId="195">
      <calculatedColumnFormula>JanReport17[[#This Row],[Salary]]-JanReport17[[#This Row],[Deduction]]</calculatedColumnFormula>
    </tableColumn>
    <tableColumn id="14" xr3:uid="{3613A6AC-AAE7-4359-BF37-AAA4189D08C8}" name="Sparkling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375A5F7-2EA1-4607-81FA-D45F7BCCDB3C}" name="JanReport18" displayName="JanReport18" ref="AQ6:BE26" headerRowDxfId="194" headerRowBorderDxfId="193" tableBorderDxfId="192">
  <autoFilter ref="AQ6:BE26" xr:uid="{A375A5F7-2EA1-4607-81FA-D45F7BCCDB3C}"/>
  <tableColumns count="15">
    <tableColumn id="1" xr3:uid="{49023658-7F16-47FA-BCE6-9BD849756A9E}" name="S NO." totalsRowLabel="Total" dataDxfId="191" totalsRowDxfId="190"/>
    <tableColumn id="2" xr3:uid="{45785552-0FC6-412F-AF8B-C77F914F5C89}" name="Name" dataDxfId="189" totalsRowDxfId="188"/>
    <tableColumn id="16" xr3:uid="{C658059C-6854-43A9-9B02-89C85365F0D0}" name="Month" dataDxfId="187" totalsRowDxfId="186">
      <calculatedColumnFormula>$G$4</calculatedColumnFormula>
    </tableColumn>
    <tableColumn id="3" xr3:uid="{F9E2E42B-5BEC-49E6-B3BA-2E69FE06EE95}" name="Employee Id" dataDxfId="185" totalsRowDxfId="184"/>
    <tableColumn id="4" xr3:uid="{A11467D1-B7FF-4452-8C4A-5493168FF87C}" name="Present " dataDxfId="183">
      <calculatedColumnFormula>COUNTIF($I7:$AM7,"P")</calculatedColumnFormula>
    </tableColumn>
    <tableColumn id="5" xr3:uid="{20575E95-EAF1-47A7-A100-05AC1FA49A55}" name="Abesent" dataDxfId="182">
      <calculatedColumnFormula>COUNTIF($I7:$AM7,"A")</calculatedColumnFormula>
    </tableColumn>
    <tableColumn id="6" xr3:uid="{EBD0558C-7423-4239-98E6-90D5FF2407D5}" name="Leave" dataDxfId="181">
      <calculatedColumnFormula>COUNTIF($I7:$AM7,"L")</calculatedColumnFormula>
    </tableColumn>
    <tableColumn id="7" xr3:uid="{B13762AF-FA31-445C-83DE-AEEE95320226}" name="WeekOff" dataDxfId="180">
      <calculatedColumnFormula>$H$7</calculatedColumnFormula>
    </tableColumn>
    <tableColumn id="8" xr3:uid="{D48DAEEC-37A1-446E-B450-0F9F70A7B7C7}" name="Days" dataDxfId="179">
      <calculatedColumnFormula>$H$4</calculatedColumnFormula>
    </tableColumn>
    <tableColumn id="9" xr3:uid="{FFDA202A-D7C7-43FB-9735-1135DF6C505E}" name="PaidDays" dataDxfId="178">
      <calculatedColumnFormula>JanReport18[[#This Row],[Days]]-JanReport18[[#This Row],[Abesent]]</calculatedColumnFormula>
    </tableColumn>
    <tableColumn id="10" xr3:uid="{F9F7F7F6-0D1C-478D-94D8-DCC0D26B5D13}" name="Salary" dataDxfId="177" dataCellStyle="Comma"/>
    <tableColumn id="11" xr3:uid="{FF3E0F03-E183-4F74-B959-5EA7856A5AC8}" name="PerDaySalary" dataDxfId="176">
      <calculatedColumnFormula>JanReport18[[#This Row],[Salary]]/JanReport18[[#This Row],[Days]]</calculatedColumnFormula>
    </tableColumn>
    <tableColumn id="12" xr3:uid="{C8CEF818-CAAD-4840-AB67-5560AC4A0AC9}" name="Deduction" dataDxfId="175">
      <calculatedColumnFormula>JanReport18[[#This Row],[PerDaySalary]]*JanReport18[[#This Row],[Abesent]]</calculatedColumnFormula>
    </tableColumn>
    <tableColumn id="13" xr3:uid="{DA015BBD-D11F-43A9-A9F8-0DB9335C00FC}" name="Total Salary" totalsRowFunction="count" dataDxfId="174">
      <calculatedColumnFormula>JanReport18[[#This Row],[Salary]]-JanReport18[[#This Row],[Deduction]]</calculatedColumnFormula>
    </tableColumn>
    <tableColumn id="14" xr3:uid="{258E7636-B46B-459B-B017-2C1BFB448DA8}" name="Sparkling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A9E9A1D-F4C0-4F01-85AE-87D80E119797}" name="JanReport19" displayName="JanReport19" ref="AQ6:BE26" headerRowDxfId="173" headerRowBorderDxfId="172" tableBorderDxfId="171">
  <autoFilter ref="AQ6:BE26" xr:uid="{3A9E9A1D-F4C0-4F01-85AE-87D80E119797}"/>
  <tableColumns count="15">
    <tableColumn id="1" xr3:uid="{6D4D0A17-30B1-49A2-B6FB-1D467B51F969}" name="S NO." totalsRowLabel="Total" dataDxfId="170" totalsRowDxfId="169"/>
    <tableColumn id="2" xr3:uid="{E63593F6-F4A3-48A5-8067-D950B0043388}" name="Name" dataDxfId="168" totalsRowDxfId="167"/>
    <tableColumn id="16" xr3:uid="{932F495C-88B2-4E47-8F81-B9C08F0B381B}" name="Month" dataDxfId="166" totalsRowDxfId="165">
      <calculatedColumnFormula>$G$4</calculatedColumnFormula>
    </tableColumn>
    <tableColumn id="3" xr3:uid="{72DAEC8F-FD9C-46A6-B45B-6B452DB17255}" name="Employee Id" dataDxfId="164" totalsRowDxfId="163"/>
    <tableColumn id="4" xr3:uid="{C1977499-86CC-4743-86F2-1DC24E1C529D}" name="Present " dataDxfId="162">
      <calculatedColumnFormula>COUNTIF($I7:$AM7,"P")</calculatedColumnFormula>
    </tableColumn>
    <tableColumn id="5" xr3:uid="{0CE62D74-638E-4313-80CF-41257A7C9379}" name="Abesent" dataDxfId="161">
      <calculatedColumnFormula>COUNTIF($I7:$AM7,"A")</calculatedColumnFormula>
    </tableColumn>
    <tableColumn id="6" xr3:uid="{B10B5C7B-ED9A-4977-8913-F635A64ACF9A}" name="Leave" dataDxfId="160">
      <calculatedColumnFormula>COUNTIF($I7:$AM7,"L")</calculatedColumnFormula>
    </tableColumn>
    <tableColumn id="7" xr3:uid="{89514F0C-A794-400D-AF8E-F545CFD54FDE}" name="WeekOff" dataDxfId="159">
      <calculatedColumnFormula>$H$7</calculatedColumnFormula>
    </tableColumn>
    <tableColumn id="8" xr3:uid="{407A224A-A3BC-4ACD-9EB5-187FBE5D792F}" name="Days" dataDxfId="158">
      <calculatedColumnFormula>$H$4</calculatedColumnFormula>
    </tableColumn>
    <tableColumn id="9" xr3:uid="{BD43FB17-C658-4522-8DD7-834FA2F1A88F}" name="PaidDays" dataDxfId="157">
      <calculatedColumnFormula>JanReport19[[#This Row],[Days]]-JanReport19[[#This Row],[Abesent]]</calculatedColumnFormula>
    </tableColumn>
    <tableColumn id="10" xr3:uid="{3C2D386F-AC4D-45E3-9835-97DC66F80CD5}" name="Salary" dataDxfId="156" dataCellStyle="Comma"/>
    <tableColumn id="11" xr3:uid="{57700EB9-C279-4A7F-A381-51E2D2C61E34}" name="PerDaySalary" dataDxfId="155">
      <calculatedColumnFormula>JanReport19[[#This Row],[Salary]]/JanReport19[[#This Row],[Days]]</calculatedColumnFormula>
    </tableColumn>
    <tableColumn id="12" xr3:uid="{31286D38-34DC-492A-B984-5BDA3147BA3E}" name="Deduction" dataDxfId="154">
      <calculatedColumnFormula>JanReport19[[#This Row],[PerDaySalary]]*JanReport19[[#This Row],[Abesent]]</calculatedColumnFormula>
    </tableColumn>
    <tableColumn id="13" xr3:uid="{7C076808-8C84-4107-BFB5-CA39C5724CCA}" name="Total Salary" totalsRowFunction="count" dataDxfId="153">
      <calculatedColumnFormula>JanReport19[[#This Row],[Salary]]-JanReport19[[#This Row],[Deduction]]</calculatedColumnFormula>
    </tableColumn>
    <tableColumn id="14" xr3:uid="{3E54AA8C-37B0-456F-9A42-ECE2B8D50FAB}" name="Sparkling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4A1807B-C73C-4BB3-B30F-F9010DCD6399}" name="JanReport20" displayName="JanReport20" ref="AQ6:BE26" headerRowDxfId="152" headerRowBorderDxfId="151" tableBorderDxfId="150">
  <autoFilter ref="AQ6:BE26" xr:uid="{F4A1807B-C73C-4BB3-B30F-F9010DCD6399}"/>
  <tableColumns count="15">
    <tableColumn id="1" xr3:uid="{A13FCB51-10EF-48C7-BC1A-C400B5442E5D}" name="S NO." totalsRowLabel="Total" dataDxfId="149" totalsRowDxfId="148"/>
    <tableColumn id="2" xr3:uid="{044DD8A7-F875-4962-9B43-D37E45A8ED73}" name="Name" dataDxfId="147" totalsRowDxfId="146"/>
    <tableColumn id="16" xr3:uid="{1F1065DE-A03B-410B-9171-A0530FC602EF}" name="Month" dataDxfId="145" totalsRowDxfId="144">
      <calculatedColumnFormula>$G$4</calculatedColumnFormula>
    </tableColumn>
    <tableColumn id="3" xr3:uid="{4451E254-AB16-4D01-8783-189FDD6952AF}" name="Employee Id" dataDxfId="143" totalsRowDxfId="142"/>
    <tableColumn id="4" xr3:uid="{2DA277AA-2CE9-4E26-9DB2-F760D4C39D04}" name="Present " dataDxfId="141">
      <calculatedColumnFormula>COUNTIF($I7:$AM7,"P")</calculatedColumnFormula>
    </tableColumn>
    <tableColumn id="5" xr3:uid="{35423167-7241-4757-A22B-B7B4E7FA880D}" name="Abesent" dataDxfId="140">
      <calculatedColumnFormula>COUNTIF($I7:$AM7,"A")</calculatedColumnFormula>
    </tableColumn>
    <tableColumn id="6" xr3:uid="{45765B89-5D6D-4D65-A371-F6DE6D501D48}" name="Leave" dataDxfId="139">
      <calculatedColumnFormula>COUNTIF($I7:$AM7,"L")</calculatedColumnFormula>
    </tableColumn>
    <tableColumn id="7" xr3:uid="{8B2C8295-EF87-486E-B79D-EE3C015E7C05}" name="WeekOff" dataDxfId="138">
      <calculatedColumnFormula>$H$7</calculatedColumnFormula>
    </tableColumn>
    <tableColumn id="8" xr3:uid="{C93195F4-E2DA-4BBD-97B4-D4573BCA7529}" name="Days" dataDxfId="137">
      <calculatedColumnFormula>$H$4</calculatedColumnFormula>
    </tableColumn>
    <tableColumn id="9" xr3:uid="{ED8AFEE9-A41E-4E34-8BEA-1BDE51B854DA}" name="PaidDays" dataDxfId="136">
      <calculatedColumnFormula>JanReport20[[#This Row],[Days]]-JanReport20[[#This Row],[Abesent]]</calculatedColumnFormula>
    </tableColumn>
    <tableColumn id="10" xr3:uid="{CAB70783-A3CB-4095-B16F-E22FA0254554}" name="Salary" dataDxfId="135" dataCellStyle="Comma"/>
    <tableColumn id="11" xr3:uid="{C0D59E3F-B84D-4ECC-9376-4D92E5C3C09D}" name="PerDaySalary" dataDxfId="134">
      <calculatedColumnFormula>JanReport20[[#This Row],[Salary]]/JanReport20[[#This Row],[Days]]</calculatedColumnFormula>
    </tableColumn>
    <tableColumn id="12" xr3:uid="{5397A690-B9E5-4717-833C-068F540A5382}" name="Deduction" dataDxfId="133">
      <calculatedColumnFormula>JanReport20[[#This Row],[PerDaySalary]]*JanReport20[[#This Row],[Abesent]]</calculatedColumnFormula>
    </tableColumn>
    <tableColumn id="13" xr3:uid="{C5C7DF7A-474E-41A7-BB4A-BA29C939B308}" name="Total Salary" totalsRowFunction="count" dataDxfId="132">
      <calculatedColumnFormula>JanReport20[[#This Row],[Salary]]-JanReport20[[#This Row],[Deduction]]</calculatedColumnFormula>
    </tableColumn>
    <tableColumn id="14" xr3:uid="{6F541B43-E041-4D78-935C-0A45EBD3AAD2}" name="Sparkling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44869B-FF71-44F6-A9AB-CF0A07BE69CD}" name="JanReport21" displayName="JanReport21" ref="AQ6:BE26" headerRowDxfId="131" headerRowBorderDxfId="130" tableBorderDxfId="129">
  <autoFilter ref="AQ6:BE26" xr:uid="{3044869B-FF71-44F6-A9AB-CF0A07BE69CD}"/>
  <tableColumns count="15">
    <tableColumn id="1" xr3:uid="{5E3CCA91-56A5-436D-9109-8E19B0735735}" name="S NO." totalsRowLabel="Total" dataDxfId="128" totalsRowDxfId="127"/>
    <tableColumn id="2" xr3:uid="{735F9046-59A8-4B53-8901-C66D49BD08C8}" name="Name" dataDxfId="126" totalsRowDxfId="125"/>
    <tableColumn id="16" xr3:uid="{3C449826-46C6-43BF-B3F9-EDB7EEE7325E}" name="Month" dataDxfId="124" totalsRowDxfId="123">
      <calculatedColumnFormula>$G$4</calculatedColumnFormula>
    </tableColumn>
    <tableColumn id="3" xr3:uid="{B97B38D8-1DB3-4F38-A936-62BE9B704B92}" name="Employee Id" dataDxfId="122" totalsRowDxfId="121"/>
    <tableColumn id="4" xr3:uid="{F14A4860-16E4-4ECA-96B5-B2FBA3850E59}" name="Present " dataDxfId="120">
      <calculatedColumnFormula>COUNTIF($I7:$AM7,"P")</calculatedColumnFormula>
    </tableColumn>
    <tableColumn id="5" xr3:uid="{8AB31505-A5E2-411D-A55C-A5B9CDB635A1}" name="Abesent" dataDxfId="119">
      <calculatedColumnFormula>COUNTIF($I7:$AM7,"A")</calculatedColumnFormula>
    </tableColumn>
    <tableColumn id="6" xr3:uid="{12D5AA5F-49FA-4194-BEDF-018DB8EFBDFF}" name="Leave" dataDxfId="118">
      <calculatedColumnFormula>COUNTIF($I7:$AM7,"L")</calculatedColumnFormula>
    </tableColumn>
    <tableColumn id="7" xr3:uid="{7EDB8171-F20D-4121-84F2-0BA24ADD06DE}" name="WeekOff" dataDxfId="117">
      <calculatedColumnFormula>$H$7</calculatedColumnFormula>
    </tableColumn>
    <tableColumn id="8" xr3:uid="{7939F779-C383-464C-954B-70CA5E2E292F}" name="Days" dataDxfId="116">
      <calculatedColumnFormula>$H$4</calculatedColumnFormula>
    </tableColumn>
    <tableColumn id="9" xr3:uid="{5ACA8E14-6088-4600-AA6B-F10F9F48A74C}" name="PaidDays" dataDxfId="115">
      <calculatedColumnFormula>JanReport21[[#This Row],[Days]]-JanReport21[[#This Row],[Abesent]]</calculatedColumnFormula>
    </tableColumn>
    <tableColumn id="10" xr3:uid="{023ECEE5-FD02-4561-AA82-CBC65EBE6617}" name="Salary" dataDxfId="114" dataCellStyle="Comma"/>
    <tableColumn id="11" xr3:uid="{9A4837EE-4591-45F1-8F35-EB56991CFA09}" name="PerDaySalary" dataDxfId="113">
      <calculatedColumnFormula>JanReport21[[#This Row],[Salary]]/JanReport21[[#This Row],[Days]]</calculatedColumnFormula>
    </tableColumn>
    <tableColumn id="12" xr3:uid="{F52F75A6-C8E6-433F-9F1E-B42F6307B3AE}" name="Deduction" dataDxfId="112">
      <calculatedColumnFormula>JanReport21[[#This Row],[PerDaySalary]]*JanReport21[[#This Row],[Abesent]]</calculatedColumnFormula>
    </tableColumn>
    <tableColumn id="13" xr3:uid="{B6C93E3B-C4EF-4415-8E0B-6A32439F6096}" name="Total Salary" totalsRowFunction="count" dataDxfId="111">
      <calculatedColumnFormula>JanReport21[[#This Row],[Salary]]-JanReport21[[#This Row],[Deduction]]</calculatedColumnFormula>
    </tableColumn>
    <tableColumn id="14" xr3:uid="{1CCF5BA8-1C5D-4FAC-8F85-54A1D398B450}" name="Sparkling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ABA985D-A5DE-4DD6-AD33-246635A8C950}" name="JanReport22" displayName="JanReport22" ref="AQ6:BE26" headerRowDxfId="110" headerRowBorderDxfId="109" tableBorderDxfId="108">
  <autoFilter ref="AQ6:BE26" xr:uid="{6ABA985D-A5DE-4DD6-AD33-246635A8C950}"/>
  <tableColumns count="15">
    <tableColumn id="1" xr3:uid="{AD7B0C64-2EA6-4615-A508-AE6A7E1E8E0A}" name="S NO." totalsRowLabel="Total" dataDxfId="107" totalsRowDxfId="106"/>
    <tableColumn id="2" xr3:uid="{04CCB318-F44D-486B-B28C-62FA3D76CC0C}" name="Name" dataDxfId="105" totalsRowDxfId="104"/>
    <tableColumn id="16" xr3:uid="{B4DDE5A5-7AD4-4693-B686-6932312122E0}" name="Month" dataDxfId="103" totalsRowDxfId="102">
      <calculatedColumnFormula>$G$4</calculatedColumnFormula>
    </tableColumn>
    <tableColumn id="3" xr3:uid="{A2A9A29F-73A8-49FD-BA0D-9B04DD5E9E70}" name="Employee Id" dataDxfId="101" totalsRowDxfId="100"/>
    <tableColumn id="4" xr3:uid="{F07B082D-CC41-4341-9018-4245D0579656}" name="Present " dataDxfId="99">
      <calculatedColumnFormula>COUNTIF($I7:$AM7,"P")</calculatedColumnFormula>
    </tableColumn>
    <tableColumn id="5" xr3:uid="{182D6CC9-63E1-4336-95F8-3D0D0B0633F3}" name="Abesent" dataDxfId="98">
      <calculatedColumnFormula>COUNTIF($I7:$AM7,"A")</calculatedColumnFormula>
    </tableColumn>
    <tableColumn id="6" xr3:uid="{B9FD2285-4245-474A-9BDF-4963AF7739AC}" name="Leave" dataDxfId="97">
      <calculatedColumnFormula>COUNTIF($I7:$AM7,"L")</calculatedColumnFormula>
    </tableColumn>
    <tableColumn id="7" xr3:uid="{9D249CD1-7BDF-4F00-B4B9-871A8968C8CA}" name="WeekOff" dataDxfId="96">
      <calculatedColumnFormula>$H$7</calculatedColumnFormula>
    </tableColumn>
    <tableColumn id="8" xr3:uid="{E17BE461-171A-495B-A6EA-25392391DCA3}" name="Days" dataDxfId="95">
      <calculatedColumnFormula>$H$4</calculatedColumnFormula>
    </tableColumn>
    <tableColumn id="9" xr3:uid="{5A90F174-3F60-4191-9F7F-D9EFA3846EBC}" name="PaidDays" dataDxfId="94">
      <calculatedColumnFormula>JanReport22[[#This Row],[Days]]-JanReport22[[#This Row],[Abesent]]</calculatedColumnFormula>
    </tableColumn>
    <tableColumn id="10" xr3:uid="{5B5D8A75-30BD-4A16-94F2-8FB2E3D14DC1}" name="Salary" dataDxfId="93" dataCellStyle="Comma"/>
    <tableColumn id="11" xr3:uid="{8B65A4B0-3F34-486C-B8BB-8B5FEBB33EAA}" name="PerDaySalary" dataDxfId="92">
      <calculatedColumnFormula>JanReport22[[#This Row],[Salary]]/JanReport22[[#This Row],[Days]]</calculatedColumnFormula>
    </tableColumn>
    <tableColumn id="12" xr3:uid="{B38D97C6-914A-4E71-98B8-8701EABAE1FB}" name="Deduction" dataDxfId="91">
      <calculatedColumnFormula>JanReport22[[#This Row],[PerDaySalary]]*JanReport22[[#This Row],[Abesent]]</calculatedColumnFormula>
    </tableColumn>
    <tableColumn id="13" xr3:uid="{AE1FFE2A-B7F4-431A-86CA-E167762752D0}" name="Total Salary" totalsRowFunction="count" dataDxfId="90">
      <calculatedColumnFormula>JanReport22[[#This Row],[Salary]]-JanReport22[[#This Row],[Deduction]]</calculatedColumnFormula>
    </tableColumn>
    <tableColumn id="14" xr3:uid="{7C5CFECD-50C1-48B6-88DD-0A6B4A3CA5F6}" name="Sparkling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72DC9C-C5A1-4C96-8C0E-C6C121A7043E}" name="JanReport23" displayName="JanReport23" ref="AQ6:BE26" headerRowDxfId="89" headerRowBorderDxfId="88" tableBorderDxfId="87">
  <autoFilter ref="AQ6:BE26" xr:uid="{F972DC9C-C5A1-4C96-8C0E-C6C121A7043E}"/>
  <tableColumns count="15">
    <tableColumn id="1" xr3:uid="{834254F7-EBDD-425F-AF15-27BC17B284BE}" name="S NO." totalsRowLabel="Total" dataDxfId="86" totalsRowDxfId="85"/>
    <tableColumn id="2" xr3:uid="{B47352EF-F5C1-4FB1-99C1-9DFD56D6652B}" name="Name" dataDxfId="84" totalsRowDxfId="83"/>
    <tableColumn id="16" xr3:uid="{322FB1DC-57B0-4016-B6BE-04F85860BCC0}" name="Month" dataDxfId="82" totalsRowDxfId="81">
      <calculatedColumnFormula>$G$4</calculatedColumnFormula>
    </tableColumn>
    <tableColumn id="3" xr3:uid="{14ED3472-FEA6-4E3F-A869-A56843BE26E6}" name="Employee Id" dataDxfId="80" totalsRowDxfId="79"/>
    <tableColumn id="4" xr3:uid="{D3905C95-CB47-4030-A5CD-A7D94515C208}" name="Present " dataDxfId="78">
      <calculatedColumnFormula>COUNTIF($I7:$AM7,"P")</calculatedColumnFormula>
    </tableColumn>
    <tableColumn id="5" xr3:uid="{AF0D29AE-AE7A-40D9-BF3E-ECFAA1501903}" name="Abesent" dataDxfId="77">
      <calculatedColumnFormula>COUNTIF($I7:$AM7,"A")</calculatedColumnFormula>
    </tableColumn>
    <tableColumn id="6" xr3:uid="{5F51F17A-B487-4FE8-8B05-49BDF85F898D}" name="Leave" dataDxfId="76">
      <calculatedColumnFormula>COUNTIF($I7:$AM7,"L")</calculatedColumnFormula>
    </tableColumn>
    <tableColumn id="7" xr3:uid="{8C689441-1D80-495F-97BF-8BAA0145C0EA}" name="WeekOff" dataDxfId="75">
      <calculatedColumnFormula>$H$7</calculatedColumnFormula>
    </tableColumn>
    <tableColumn id="8" xr3:uid="{90377D77-BE56-4E41-8397-8DEB0808D09E}" name="Days" dataDxfId="74">
      <calculatedColumnFormula>$H$4</calculatedColumnFormula>
    </tableColumn>
    <tableColumn id="9" xr3:uid="{13D77B00-6C91-4A0F-8651-455202130316}" name="PaidDays" dataDxfId="73">
      <calculatedColumnFormula>JanReport23[[#This Row],[Days]]-JanReport23[[#This Row],[Abesent]]</calculatedColumnFormula>
    </tableColumn>
    <tableColumn id="10" xr3:uid="{D6D1E3C2-1E34-4581-92CC-A8AF25CA8A47}" name="Salary" dataDxfId="72" dataCellStyle="Comma"/>
    <tableColumn id="11" xr3:uid="{C31BE447-40C6-4594-AD31-098F514A7B7F}" name="PerDaySalary" dataDxfId="71">
      <calculatedColumnFormula>JanReport23[[#This Row],[Salary]]/JanReport23[[#This Row],[Days]]</calculatedColumnFormula>
    </tableColumn>
    <tableColumn id="12" xr3:uid="{758578CD-5147-4122-A6DC-3A6C79167E46}" name="Deduction" dataDxfId="70">
      <calculatedColumnFormula>JanReport23[[#This Row],[PerDaySalary]]*JanReport23[[#This Row],[Abesent]]</calculatedColumnFormula>
    </tableColumn>
    <tableColumn id="13" xr3:uid="{EA219057-835C-4549-9206-27B0A1D43EB6}" name="Total Salary" totalsRowFunction="count" dataDxfId="69">
      <calculatedColumnFormula>JanReport23[[#This Row],[Salary]]-JanReport23[[#This Row],[Deduction]]</calculatedColumnFormula>
    </tableColumn>
    <tableColumn id="14" xr3:uid="{1B671F86-C035-4E1A-BE02-480BFA0F4390}" name="Sparkling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743B284-8779-4C06-B870-23FBBE1F649F}" name="JanReport24" displayName="JanReport24" ref="AQ6:BE26" headerRowDxfId="68" headerRowBorderDxfId="67" tableBorderDxfId="66">
  <autoFilter ref="AQ6:BE26" xr:uid="{9743B284-8779-4C06-B870-23FBBE1F649F}"/>
  <tableColumns count="15">
    <tableColumn id="1" xr3:uid="{14C7DED7-5B48-45B8-B050-4116263AFA22}" name="S NO." totalsRowLabel="Total" dataDxfId="65" totalsRowDxfId="64"/>
    <tableColumn id="2" xr3:uid="{F7200F67-B75B-4C95-985D-9065F27F105D}" name="Name" dataDxfId="63" totalsRowDxfId="62"/>
    <tableColumn id="16" xr3:uid="{FF37E30F-6D88-406C-A39D-491BE8A92358}" name="Month" dataDxfId="61" totalsRowDxfId="60">
      <calculatedColumnFormula>$G$4</calculatedColumnFormula>
    </tableColumn>
    <tableColumn id="3" xr3:uid="{3377B789-AD1D-4CBB-BB9F-10FB4E7A8E2B}" name="Employee Id" dataDxfId="59" totalsRowDxfId="58"/>
    <tableColumn id="4" xr3:uid="{C86A4E27-B751-46C4-8330-49243A11065F}" name="Present " dataDxfId="57">
      <calculatedColumnFormula>COUNTIF($I7:$AM7,"P")</calculatedColumnFormula>
    </tableColumn>
    <tableColumn id="5" xr3:uid="{82D991E6-9BD9-4C00-AAD0-D10FC4DBDD5A}" name="Abesent" dataDxfId="56">
      <calculatedColumnFormula>COUNTIF($I7:$AM7,"A")</calculatedColumnFormula>
    </tableColumn>
    <tableColumn id="6" xr3:uid="{8FB4D7C7-6088-4643-B1DB-2CA26698EF57}" name="Leave" dataDxfId="55">
      <calculatedColumnFormula>COUNTIF($I7:$AM7,"L")</calculatedColumnFormula>
    </tableColumn>
    <tableColumn id="7" xr3:uid="{E60A4E97-142E-479E-9BB3-E37EDDB92C41}" name="WeekOff" dataDxfId="54">
      <calculatedColumnFormula>$H$7</calculatedColumnFormula>
    </tableColumn>
    <tableColumn id="8" xr3:uid="{79D44859-AE35-4123-A8DD-678007EE958B}" name="Days" dataDxfId="53">
      <calculatedColumnFormula>$H$4</calculatedColumnFormula>
    </tableColumn>
    <tableColumn id="9" xr3:uid="{C38C2565-4809-4BE8-92FF-6AD1EA63A072}" name="PaidDays" dataDxfId="52">
      <calculatedColumnFormula>JanReport24[[#This Row],[Days]]-JanReport24[[#This Row],[Abesent]]</calculatedColumnFormula>
    </tableColumn>
    <tableColumn id="10" xr3:uid="{577C8C99-F297-476A-B73B-708FAB413D13}" name="Salary" dataDxfId="51" dataCellStyle="Comma"/>
    <tableColumn id="11" xr3:uid="{59330577-B4D3-42F3-B655-BDA49C08A166}" name="PerDaySalary" dataDxfId="50">
      <calculatedColumnFormula>JanReport24[[#This Row],[Salary]]/JanReport24[[#This Row],[Days]]</calculatedColumnFormula>
    </tableColumn>
    <tableColumn id="12" xr3:uid="{EE0CC258-F84C-4416-83D6-A1D9D4996C97}" name="Deduction" dataDxfId="49">
      <calculatedColumnFormula>JanReport24[[#This Row],[PerDaySalary]]*JanReport24[[#This Row],[Abesent]]</calculatedColumnFormula>
    </tableColumn>
    <tableColumn id="13" xr3:uid="{9CC0FEE8-226F-45B6-B985-0FC1A5F97548}" name="Total Salary" totalsRowFunction="count" dataDxfId="48">
      <calculatedColumnFormula>JanReport24[[#This Row],[Salary]]-JanReport24[[#This Row],[Deduction]]</calculatedColumnFormula>
    </tableColumn>
    <tableColumn id="14" xr3:uid="{7238C1AF-B8B3-4730-940E-725118B99D49}" name="Sparkling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B42D-CFF6-448E-9D7E-FD11B00860C7}">
  <dimension ref="A1:K21"/>
  <sheetViews>
    <sheetView tabSelected="1" workbookViewId="0">
      <selection activeCell="I11" sqref="I11"/>
    </sheetView>
  </sheetViews>
  <sheetFormatPr defaultRowHeight="14.4" x14ac:dyDescent="0.3"/>
  <cols>
    <col min="1" max="1" width="5.6640625" bestFit="1" customWidth="1"/>
    <col min="2" max="2" width="14.6640625" bestFit="1" customWidth="1"/>
    <col min="3" max="3" width="11.44140625" bestFit="1" customWidth="1"/>
    <col min="4" max="4" width="13.88671875" bestFit="1" customWidth="1"/>
    <col min="7" max="7" width="14.21875" bestFit="1" customWidth="1"/>
    <col min="10" max="10" width="10.33203125" bestFit="1" customWidth="1"/>
    <col min="11" max="11" width="8.109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</row>
    <row r="2" spans="1:11" x14ac:dyDescent="0.3">
      <c r="A2" s="2">
        <v>1</v>
      </c>
      <c r="B2" s="2" t="s">
        <v>3</v>
      </c>
      <c r="C2" s="2">
        <v>10001</v>
      </c>
      <c r="D2" s="1" t="s">
        <v>23</v>
      </c>
      <c r="G2" s="5"/>
    </row>
    <row r="3" spans="1:11" x14ac:dyDescent="0.3">
      <c r="A3" s="2">
        <v>2</v>
      </c>
      <c r="B3" s="2" t="s">
        <v>4</v>
      </c>
      <c r="C3" s="2">
        <v>10002</v>
      </c>
      <c r="D3" s="4" t="s">
        <v>24</v>
      </c>
      <c r="G3" s="5"/>
      <c r="H3" s="19"/>
    </row>
    <row r="4" spans="1:11" x14ac:dyDescent="0.3">
      <c r="A4" s="2">
        <v>3</v>
      </c>
      <c r="B4" s="2" t="s">
        <v>5</v>
      </c>
      <c r="C4" s="2">
        <v>10003</v>
      </c>
      <c r="D4" s="5">
        <v>45658</v>
      </c>
    </row>
    <row r="5" spans="1:11" x14ac:dyDescent="0.3">
      <c r="A5" s="2">
        <v>4</v>
      </c>
      <c r="B5" s="2" t="s">
        <v>6</v>
      </c>
      <c r="C5" s="2">
        <v>10004</v>
      </c>
      <c r="D5" s="5">
        <v>45689</v>
      </c>
      <c r="J5" s="20"/>
      <c r="K5" s="19"/>
    </row>
    <row r="6" spans="1:11" x14ac:dyDescent="0.3">
      <c r="A6" s="2">
        <v>5</v>
      </c>
      <c r="B6" s="2" t="s">
        <v>7</v>
      </c>
      <c r="C6" s="2">
        <v>10005</v>
      </c>
      <c r="D6" s="5">
        <v>45717</v>
      </c>
    </row>
    <row r="7" spans="1:11" x14ac:dyDescent="0.3">
      <c r="A7" s="2">
        <v>6</v>
      </c>
      <c r="B7" s="2" t="s">
        <v>8</v>
      </c>
      <c r="C7" s="2">
        <v>10006</v>
      </c>
      <c r="D7" s="5">
        <v>45748</v>
      </c>
    </row>
    <row r="8" spans="1:11" x14ac:dyDescent="0.3">
      <c r="A8" s="2">
        <v>7</v>
      </c>
      <c r="B8" s="2" t="s">
        <v>9</v>
      </c>
      <c r="C8" s="2">
        <v>10007</v>
      </c>
      <c r="D8" s="5">
        <v>45778</v>
      </c>
    </row>
    <row r="9" spans="1:11" x14ac:dyDescent="0.3">
      <c r="A9" s="2">
        <v>8</v>
      </c>
      <c r="B9" s="2" t="s">
        <v>10</v>
      </c>
      <c r="C9" s="2">
        <v>10008</v>
      </c>
      <c r="D9" s="5">
        <v>45809</v>
      </c>
    </row>
    <row r="10" spans="1:11" x14ac:dyDescent="0.3">
      <c r="A10" s="2">
        <v>9</v>
      </c>
      <c r="B10" s="2" t="s">
        <v>11</v>
      </c>
      <c r="C10" s="2">
        <v>10009</v>
      </c>
      <c r="D10" s="5">
        <v>45839</v>
      </c>
    </row>
    <row r="11" spans="1:11" x14ac:dyDescent="0.3">
      <c r="A11" s="2">
        <v>10</v>
      </c>
      <c r="B11" s="2" t="s">
        <v>12</v>
      </c>
      <c r="C11" s="2">
        <v>10010</v>
      </c>
      <c r="D11" s="5">
        <v>45870</v>
      </c>
    </row>
    <row r="12" spans="1:11" x14ac:dyDescent="0.3">
      <c r="A12" s="2">
        <v>11</v>
      </c>
      <c r="B12" s="2" t="s">
        <v>13</v>
      </c>
      <c r="C12" s="2">
        <v>10011</v>
      </c>
      <c r="D12" s="5">
        <v>45901</v>
      </c>
    </row>
    <row r="13" spans="1:11" x14ac:dyDescent="0.3">
      <c r="A13" s="2">
        <v>12</v>
      </c>
      <c r="B13" s="2" t="s">
        <v>14</v>
      </c>
      <c r="C13" s="2">
        <v>10012</v>
      </c>
      <c r="D13" s="5">
        <v>45931</v>
      </c>
    </row>
    <row r="14" spans="1:11" x14ac:dyDescent="0.3">
      <c r="A14" s="2">
        <v>13</v>
      </c>
      <c r="B14" s="2" t="s">
        <v>15</v>
      </c>
      <c r="C14" s="2">
        <v>10013</v>
      </c>
      <c r="D14" s="5">
        <v>45962</v>
      </c>
    </row>
    <row r="15" spans="1:11" x14ac:dyDescent="0.3">
      <c r="A15" s="2">
        <v>14</v>
      </c>
      <c r="B15" s="2" t="s">
        <v>16</v>
      </c>
      <c r="C15" s="2">
        <v>10014</v>
      </c>
      <c r="D15" s="5">
        <v>45992</v>
      </c>
    </row>
    <row r="16" spans="1:11" x14ac:dyDescent="0.3">
      <c r="A16" s="2">
        <v>15</v>
      </c>
      <c r="B16" s="2" t="s">
        <v>17</v>
      </c>
      <c r="C16" s="2">
        <v>10015</v>
      </c>
    </row>
    <row r="17" spans="1:3" x14ac:dyDescent="0.3">
      <c r="A17" s="2">
        <v>16</v>
      </c>
      <c r="B17" s="2" t="s">
        <v>18</v>
      </c>
      <c r="C17" s="2">
        <v>10016</v>
      </c>
    </row>
    <row r="18" spans="1:3" x14ac:dyDescent="0.3">
      <c r="A18" s="2">
        <v>17</v>
      </c>
      <c r="B18" s="2" t="s">
        <v>19</v>
      </c>
      <c r="C18" s="2">
        <v>10017</v>
      </c>
    </row>
    <row r="19" spans="1:3" x14ac:dyDescent="0.3">
      <c r="A19" s="2">
        <v>18</v>
      </c>
      <c r="B19" s="2" t="s">
        <v>20</v>
      </c>
      <c r="C19" s="2">
        <v>10018</v>
      </c>
    </row>
    <row r="20" spans="1:3" x14ac:dyDescent="0.3">
      <c r="A20" s="2">
        <v>19</v>
      </c>
      <c r="B20" s="2" t="s">
        <v>21</v>
      </c>
      <c r="C20" s="2">
        <v>10019</v>
      </c>
    </row>
    <row r="21" spans="1:3" x14ac:dyDescent="0.3">
      <c r="A21" s="2">
        <v>20</v>
      </c>
      <c r="B21" s="2" t="s">
        <v>22</v>
      </c>
      <c r="C21" s="2">
        <v>10020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3CB5-5A35-42B7-9441-5A4353C2190F}">
  <dimension ref="A1:BI32"/>
  <sheetViews>
    <sheetView zoomScaleNormal="100" workbookViewId="0">
      <selection activeCell="I14" sqref="I14"/>
    </sheetView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45658</v>
      </c>
      <c r="G4" s="42" t="str">
        <f>TEXT(F4,"MMMM")</f>
        <v>January</v>
      </c>
      <c r="H4" s="44">
        <f>(DATEDIF(F4,J4,"D"))+1</f>
        <v>31</v>
      </c>
      <c r="I4" s="42" t="s">
        <v>26</v>
      </c>
      <c r="J4" s="47">
        <f>EOMONTH(F4,0)</f>
        <v>45688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Wed</v>
      </c>
      <c r="J5" s="13" t="str">
        <f t="shared" ref="J5:AM5" si="0">TEXT(J6,"ddd")</f>
        <v>Thu</v>
      </c>
      <c r="K5" s="13" t="str">
        <f t="shared" si="0"/>
        <v>Fri</v>
      </c>
      <c r="L5" s="13" t="str">
        <f t="shared" si="0"/>
        <v>Sat</v>
      </c>
      <c r="M5" s="13" t="str">
        <f t="shared" si="0"/>
        <v>Sun</v>
      </c>
      <c r="N5" s="13" t="str">
        <f t="shared" si="0"/>
        <v>Mon</v>
      </c>
      <c r="O5" s="13" t="str">
        <f t="shared" si="0"/>
        <v>Tue</v>
      </c>
      <c r="P5" s="13" t="str">
        <f t="shared" si="0"/>
        <v>Wed</v>
      </c>
      <c r="Q5" s="13" t="str">
        <f t="shared" si="0"/>
        <v>Thu</v>
      </c>
      <c r="R5" s="13" t="str">
        <f t="shared" si="0"/>
        <v>Fri</v>
      </c>
      <c r="S5" s="13" t="str">
        <f t="shared" si="0"/>
        <v>Sat</v>
      </c>
      <c r="T5" s="13" t="str">
        <f t="shared" si="0"/>
        <v>Sun</v>
      </c>
      <c r="U5" s="13" t="str">
        <f t="shared" si="0"/>
        <v>Mon</v>
      </c>
      <c r="V5" s="13" t="str">
        <f t="shared" si="0"/>
        <v>Tue</v>
      </c>
      <c r="W5" s="13" t="str">
        <f t="shared" si="0"/>
        <v>Wed</v>
      </c>
      <c r="X5" s="13" t="str">
        <f t="shared" si="0"/>
        <v>Thu</v>
      </c>
      <c r="Y5" s="13" t="str">
        <f t="shared" si="0"/>
        <v>Fri</v>
      </c>
      <c r="Z5" s="13" t="str">
        <f t="shared" si="0"/>
        <v>Sat</v>
      </c>
      <c r="AA5" s="13" t="str">
        <f t="shared" si="0"/>
        <v>Sun</v>
      </c>
      <c r="AB5" s="13" t="str">
        <f t="shared" si="0"/>
        <v>Mon</v>
      </c>
      <c r="AC5" s="13" t="str">
        <f t="shared" si="0"/>
        <v>Tue</v>
      </c>
      <c r="AD5" s="13" t="str">
        <f t="shared" si="0"/>
        <v>Wed</v>
      </c>
      <c r="AE5" s="13" t="str">
        <f t="shared" si="0"/>
        <v>Thu</v>
      </c>
      <c r="AF5" s="13" t="str">
        <f t="shared" si="0"/>
        <v>Fri</v>
      </c>
      <c r="AG5" s="13" t="str">
        <f t="shared" si="0"/>
        <v>Sat</v>
      </c>
      <c r="AH5" s="13" t="str">
        <f t="shared" si="0"/>
        <v>Sun</v>
      </c>
      <c r="AI5" s="13" t="str">
        <f t="shared" si="0"/>
        <v>Mon</v>
      </c>
      <c r="AJ5" s="13" t="str">
        <f t="shared" si="0"/>
        <v>Tue</v>
      </c>
      <c r="AK5" s="13" t="str">
        <f t="shared" si="0"/>
        <v>Wed</v>
      </c>
      <c r="AL5" s="13" t="str">
        <f t="shared" si="0"/>
        <v>Thu</v>
      </c>
      <c r="AM5" s="14" t="str">
        <f t="shared" si="0"/>
        <v>Fri</v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45658</v>
      </c>
      <c r="J6" s="34">
        <f>IF(I6&lt;$J$4,I6+1,"")</f>
        <v>45659</v>
      </c>
      <c r="K6" s="34">
        <f t="shared" ref="K6:AM6" si="1">IF(J6&lt;$J$4,J6+1,"")</f>
        <v>45660</v>
      </c>
      <c r="L6" s="34">
        <f t="shared" si="1"/>
        <v>45661</v>
      </c>
      <c r="M6" s="34">
        <f t="shared" si="1"/>
        <v>45662</v>
      </c>
      <c r="N6" s="34">
        <f t="shared" si="1"/>
        <v>45663</v>
      </c>
      <c r="O6" s="34">
        <f t="shared" si="1"/>
        <v>45664</v>
      </c>
      <c r="P6" s="34">
        <f t="shared" si="1"/>
        <v>45665</v>
      </c>
      <c r="Q6" s="34">
        <f t="shared" si="1"/>
        <v>45666</v>
      </c>
      <c r="R6" s="34">
        <f t="shared" si="1"/>
        <v>45667</v>
      </c>
      <c r="S6" s="34">
        <f t="shared" si="1"/>
        <v>45668</v>
      </c>
      <c r="T6" s="34">
        <f t="shared" si="1"/>
        <v>45669</v>
      </c>
      <c r="U6" s="34">
        <f t="shared" si="1"/>
        <v>45670</v>
      </c>
      <c r="V6" s="34">
        <f t="shared" si="1"/>
        <v>45671</v>
      </c>
      <c r="W6" s="34">
        <f t="shared" si="1"/>
        <v>45672</v>
      </c>
      <c r="X6" s="34">
        <f t="shared" si="1"/>
        <v>45673</v>
      </c>
      <c r="Y6" s="34">
        <f t="shared" si="1"/>
        <v>45674</v>
      </c>
      <c r="Z6" s="34">
        <f t="shared" si="1"/>
        <v>45675</v>
      </c>
      <c r="AA6" s="34">
        <f t="shared" si="1"/>
        <v>45676</v>
      </c>
      <c r="AB6" s="34">
        <f t="shared" si="1"/>
        <v>45677</v>
      </c>
      <c r="AC6" s="34">
        <f t="shared" si="1"/>
        <v>45678</v>
      </c>
      <c r="AD6" s="34">
        <f t="shared" si="1"/>
        <v>45679</v>
      </c>
      <c r="AE6" s="34">
        <f t="shared" si="1"/>
        <v>45680</v>
      </c>
      <c r="AF6" s="34">
        <f t="shared" si="1"/>
        <v>45681</v>
      </c>
      <c r="AG6" s="34">
        <f t="shared" si="1"/>
        <v>45682</v>
      </c>
      <c r="AH6" s="34">
        <f t="shared" si="1"/>
        <v>45683</v>
      </c>
      <c r="AI6" s="34">
        <f t="shared" si="1"/>
        <v>45684</v>
      </c>
      <c r="AJ6" s="34">
        <f t="shared" si="1"/>
        <v>45685</v>
      </c>
      <c r="AK6" s="34">
        <f t="shared" si="1"/>
        <v>45686</v>
      </c>
      <c r="AL6" s="34">
        <f t="shared" si="1"/>
        <v>45687</v>
      </c>
      <c r="AM6" s="36">
        <f t="shared" si="1"/>
        <v>45688</v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4</v>
      </c>
      <c r="I7" s="15" t="s">
        <v>42</v>
      </c>
      <c r="J7" s="15" t="s">
        <v>42</v>
      </c>
      <c r="K7" s="15" t="s">
        <v>42</v>
      </c>
      <c r="L7" s="15" t="s">
        <v>41</v>
      </c>
      <c r="M7" s="15" t="str">
        <f t="shared" ref="M7:T18" si="3">IF(M$5="Sun","WO","")</f>
        <v>WO</v>
      </c>
      <c r="N7" s="15" t="s">
        <v>42</v>
      </c>
      <c r="O7" s="15" t="s">
        <v>41</v>
      </c>
      <c r="P7" s="15" t="s">
        <v>42</v>
      </c>
      <c r="Q7" s="15" t="s">
        <v>41</v>
      </c>
      <c r="R7" s="15" t="s">
        <v>41</v>
      </c>
      <c r="S7" s="15" t="s">
        <v>41</v>
      </c>
      <c r="T7" s="15" t="str">
        <f t="shared" si="3"/>
        <v>WO</v>
      </c>
      <c r="U7" s="15" t="s">
        <v>41</v>
      </c>
      <c r="V7" s="15" t="s">
        <v>41</v>
      </c>
      <c r="W7" s="15" t="s">
        <v>41</v>
      </c>
      <c r="X7" s="15" t="s">
        <v>41</v>
      </c>
      <c r="Y7" s="15" t="s">
        <v>41</v>
      </c>
      <c r="Z7" s="15" t="s">
        <v>41</v>
      </c>
      <c r="AA7" s="15" t="str">
        <f t="shared" ref="AA7:AH22" si="4">IF(AA$5="Sun","WO","")</f>
        <v>WO</v>
      </c>
      <c r="AB7" s="15" t="s">
        <v>41</v>
      </c>
      <c r="AC7" s="15" t="s">
        <v>41</v>
      </c>
      <c r="AD7" s="15" t="s">
        <v>41</v>
      </c>
      <c r="AE7" s="15" t="s">
        <v>41</v>
      </c>
      <c r="AF7" s="15" t="s">
        <v>41</v>
      </c>
      <c r="AG7" s="15" t="s">
        <v>41</v>
      </c>
      <c r="AH7" s="15" t="str">
        <f t="shared" si="4"/>
        <v>WO</v>
      </c>
      <c r="AI7" s="15" t="s">
        <v>41</v>
      </c>
      <c r="AJ7" s="15" t="s">
        <v>41</v>
      </c>
      <c r="AK7" s="15" t="s">
        <v>41</v>
      </c>
      <c r="AL7" s="15" t="s">
        <v>41</v>
      </c>
      <c r="AM7" s="16" t="s">
        <v>43</v>
      </c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January</v>
      </c>
      <c r="AT7" s="7">
        <v>10001</v>
      </c>
      <c r="AU7" s="21">
        <f t="shared" ref="AU7:AU26" si="6">COUNTIF($I7:$AM7,"P")</f>
        <v>21</v>
      </c>
      <c r="AV7" s="21">
        <f t="shared" ref="AV7:AV26" si="7">COUNTIF($I7:$AM7,"A")</f>
        <v>5</v>
      </c>
      <c r="AW7" s="21">
        <f t="shared" ref="AW7:AW26" si="8">COUNTIF($I7:$AM7,"L")</f>
        <v>1</v>
      </c>
      <c r="AX7" s="21">
        <f t="shared" ref="AX7:AX26" si="9">$H$7</f>
        <v>4</v>
      </c>
      <c r="AY7" s="22">
        <f t="shared" ref="AY7:AY26" si="10">$H$4</f>
        <v>31</v>
      </c>
      <c r="AZ7" s="22">
        <f>JanReport[[#This Row],[Days]]-JanReport[[#This Row],[Abesent]]</f>
        <v>26</v>
      </c>
      <c r="BA7" s="23">
        <v>10000</v>
      </c>
      <c r="BB7" s="24">
        <f>JanReport[[#This Row],[Salary]]/JanReport[[#This Row],[Days]]</f>
        <v>322.58064516129031</v>
      </c>
      <c r="BC7" s="24">
        <f>JanReport[[#This Row],[PerDaySalary]]*JanReport[[#This Row],[Abesent]]</f>
        <v>1612.9032258064515</v>
      </c>
      <c r="BD7" s="24">
        <f>JanReport[[#This Row],[Salary]]-JanReport[[#This Row],[Deduction]]</f>
        <v>8387.0967741935492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4</v>
      </c>
      <c r="I8" s="15" t="s">
        <v>41</v>
      </c>
      <c r="J8" s="15" t="s">
        <v>41</v>
      </c>
      <c r="K8" s="15" t="s">
        <v>41</v>
      </c>
      <c r="L8" s="15" t="s">
        <v>41</v>
      </c>
      <c r="M8" s="15" t="str">
        <f t="shared" si="3"/>
        <v>WO</v>
      </c>
      <c r="N8" s="15" t="s">
        <v>41</v>
      </c>
      <c r="O8" s="15" t="s">
        <v>41</v>
      </c>
      <c r="P8" s="15" t="s">
        <v>41</v>
      </c>
      <c r="Q8" s="15" t="s">
        <v>41</v>
      </c>
      <c r="R8" s="15" t="s">
        <v>41</v>
      </c>
      <c r="S8" s="15" t="s">
        <v>41</v>
      </c>
      <c r="T8" s="15" t="str">
        <f t="shared" si="3"/>
        <v>WO</v>
      </c>
      <c r="U8" s="15" t="s">
        <v>41</v>
      </c>
      <c r="V8" s="15" t="s">
        <v>41</v>
      </c>
      <c r="W8" s="15" t="s">
        <v>41</v>
      </c>
      <c r="X8" s="15" t="s">
        <v>41</v>
      </c>
      <c r="Y8" s="15" t="s">
        <v>41</v>
      </c>
      <c r="Z8" s="15" t="s">
        <v>41</v>
      </c>
      <c r="AA8" s="15" t="str">
        <f t="shared" si="4"/>
        <v>WO</v>
      </c>
      <c r="AB8" s="15" t="s">
        <v>41</v>
      </c>
      <c r="AC8" s="15" t="s">
        <v>41</v>
      </c>
      <c r="AD8" s="15" t="s">
        <v>41</v>
      </c>
      <c r="AE8" s="15" t="s">
        <v>41</v>
      </c>
      <c r="AF8" s="15" t="s">
        <v>41</v>
      </c>
      <c r="AG8" s="15" t="s">
        <v>41</v>
      </c>
      <c r="AH8" s="15" t="str">
        <f t="shared" si="4"/>
        <v>WO</v>
      </c>
      <c r="AI8" s="15" t="s">
        <v>41</v>
      </c>
      <c r="AJ8" s="15" t="s">
        <v>41</v>
      </c>
      <c r="AK8" s="15" t="s">
        <v>41</v>
      </c>
      <c r="AL8" s="15" t="s">
        <v>41</v>
      </c>
      <c r="AM8" s="16" t="s">
        <v>43</v>
      </c>
      <c r="AN8" s="41"/>
      <c r="AO8" s="41"/>
      <c r="AP8" s="31"/>
      <c r="AQ8" s="9">
        <v>2</v>
      </c>
      <c r="AR8" s="9" t="s">
        <v>4</v>
      </c>
      <c r="AS8" s="9" t="str">
        <f t="shared" si="5"/>
        <v>January</v>
      </c>
      <c r="AT8" s="10">
        <v>10002</v>
      </c>
      <c r="AU8" s="15">
        <f t="shared" si="6"/>
        <v>26</v>
      </c>
      <c r="AV8" s="15">
        <f t="shared" si="7"/>
        <v>0</v>
      </c>
      <c r="AW8" s="15">
        <f t="shared" si="8"/>
        <v>1</v>
      </c>
      <c r="AX8" s="15">
        <f t="shared" si="9"/>
        <v>4</v>
      </c>
      <c r="AY8" s="25">
        <f t="shared" si="10"/>
        <v>31</v>
      </c>
      <c r="AZ8" s="25">
        <f>JanReport[[#This Row],[Days]]-JanReport[[#This Row],[Abesent]]</f>
        <v>31</v>
      </c>
      <c r="BA8" s="26">
        <v>15000</v>
      </c>
      <c r="BB8" s="27">
        <f>JanReport[[#This Row],[Salary]]/JanReport[[#This Row],[Days]]</f>
        <v>483.87096774193549</v>
      </c>
      <c r="BC8" s="27">
        <f>JanReport[[#This Row],[PerDaySalary]]*JanReport[[#This Row],[Abesent]]</f>
        <v>0</v>
      </c>
      <c r="BD8" s="27">
        <f>JanReport[[#This Row],[Salary]]-JanReport[[#This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4</v>
      </c>
      <c r="I9" s="15" t="s">
        <v>41</v>
      </c>
      <c r="J9" s="15" t="s">
        <v>41</v>
      </c>
      <c r="K9" s="15" t="s">
        <v>41</v>
      </c>
      <c r="L9" s="15" t="s">
        <v>41</v>
      </c>
      <c r="M9" s="15" t="str">
        <f t="shared" si="3"/>
        <v>WO</v>
      </c>
      <c r="N9" s="15" t="s">
        <v>41</v>
      </c>
      <c r="O9" s="15" t="s">
        <v>41</v>
      </c>
      <c r="P9" s="15" t="s">
        <v>41</v>
      </c>
      <c r="Q9" s="15" t="s">
        <v>41</v>
      </c>
      <c r="R9" s="15" t="s">
        <v>41</v>
      </c>
      <c r="S9" s="15" t="s">
        <v>41</v>
      </c>
      <c r="T9" s="15" t="str">
        <f t="shared" si="3"/>
        <v>WO</v>
      </c>
      <c r="U9" s="15" t="s">
        <v>41</v>
      </c>
      <c r="V9" s="15" t="s">
        <v>41</v>
      </c>
      <c r="W9" s="15" t="s">
        <v>41</v>
      </c>
      <c r="X9" s="15" t="s">
        <v>41</v>
      </c>
      <c r="Y9" s="15" t="s">
        <v>41</v>
      </c>
      <c r="Z9" s="15" t="s">
        <v>41</v>
      </c>
      <c r="AA9" s="15" t="str">
        <f t="shared" si="4"/>
        <v>WO</v>
      </c>
      <c r="AB9" s="15" t="s">
        <v>41</v>
      </c>
      <c r="AC9" s="15" t="s">
        <v>41</v>
      </c>
      <c r="AD9" s="15" t="s">
        <v>41</v>
      </c>
      <c r="AE9" s="15" t="s">
        <v>41</v>
      </c>
      <c r="AF9" s="15" t="s">
        <v>41</v>
      </c>
      <c r="AG9" s="15" t="s">
        <v>41</v>
      </c>
      <c r="AH9" s="15" t="str">
        <f t="shared" si="4"/>
        <v>WO</v>
      </c>
      <c r="AI9" s="15" t="s">
        <v>41</v>
      </c>
      <c r="AJ9" s="15" t="s">
        <v>41</v>
      </c>
      <c r="AK9" s="15" t="s">
        <v>41</v>
      </c>
      <c r="AL9" s="15" t="s">
        <v>41</v>
      </c>
      <c r="AM9" s="16" t="s">
        <v>43</v>
      </c>
      <c r="AN9" s="41"/>
      <c r="AO9" s="41"/>
      <c r="AP9" s="30"/>
      <c r="AQ9" s="9">
        <v>3</v>
      </c>
      <c r="AR9" s="9" t="s">
        <v>5</v>
      </c>
      <c r="AS9" s="9" t="str">
        <f t="shared" si="5"/>
        <v>January</v>
      </c>
      <c r="AT9" s="10">
        <v>10003</v>
      </c>
      <c r="AU9" s="15">
        <f t="shared" si="6"/>
        <v>26</v>
      </c>
      <c r="AV9" s="15">
        <f t="shared" si="7"/>
        <v>0</v>
      </c>
      <c r="AW9" s="15">
        <f t="shared" si="8"/>
        <v>1</v>
      </c>
      <c r="AX9" s="15">
        <f t="shared" si="9"/>
        <v>4</v>
      </c>
      <c r="AY9" s="25">
        <f t="shared" si="10"/>
        <v>31</v>
      </c>
      <c r="AZ9" s="25">
        <f>JanReport[[#This Row],[Days]]-JanReport[[#This Row],[Abesent]]</f>
        <v>31</v>
      </c>
      <c r="BA9" s="26">
        <v>20000</v>
      </c>
      <c r="BB9" s="27">
        <f>JanReport[[#This Row],[Salary]]/JanReport[[#This Row],[Days]]</f>
        <v>645.16129032258061</v>
      </c>
      <c r="BC9" s="27">
        <f>JanReport[[#This Row],[PerDaySalary]]*JanReport[[#This Row],[Abesent]]</f>
        <v>0</v>
      </c>
      <c r="BD9" s="27">
        <f>JanReport[[#This Row],[Salary]]-JanReport[[#This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4</v>
      </c>
      <c r="I10" s="15" t="s">
        <v>41</v>
      </c>
      <c r="J10" s="15" t="s">
        <v>41</v>
      </c>
      <c r="K10" s="15" t="s">
        <v>41</v>
      </c>
      <c r="L10" s="45" t="s">
        <v>43</v>
      </c>
      <c r="M10" s="15" t="str">
        <f t="shared" si="3"/>
        <v>WO</v>
      </c>
      <c r="N10" s="15" t="s">
        <v>41</v>
      </c>
      <c r="O10" s="15" t="s">
        <v>41</v>
      </c>
      <c r="P10" s="15" t="s">
        <v>41</v>
      </c>
      <c r="Q10" s="45" t="s">
        <v>43</v>
      </c>
      <c r="R10" s="15" t="s">
        <v>41</v>
      </c>
      <c r="S10" s="15" t="s">
        <v>41</v>
      </c>
      <c r="T10" s="15" t="str">
        <f t="shared" si="3"/>
        <v>WO</v>
      </c>
      <c r="U10" s="15" t="s">
        <v>41</v>
      </c>
      <c r="V10" s="15" t="s">
        <v>41</v>
      </c>
      <c r="W10" s="15" t="s">
        <v>41</v>
      </c>
      <c r="X10" s="45" t="s">
        <v>41</v>
      </c>
      <c r="Y10" s="15" t="s">
        <v>41</v>
      </c>
      <c r="Z10" s="15" t="s">
        <v>41</v>
      </c>
      <c r="AA10" s="15" t="str">
        <f t="shared" si="4"/>
        <v>WO</v>
      </c>
      <c r="AB10" s="15" t="s">
        <v>41</v>
      </c>
      <c r="AC10" s="15" t="s">
        <v>41</v>
      </c>
      <c r="AD10" s="15" t="s">
        <v>41</v>
      </c>
      <c r="AE10" s="45" t="s">
        <v>43</v>
      </c>
      <c r="AF10" s="15" t="s">
        <v>41</v>
      </c>
      <c r="AG10" s="15" t="s">
        <v>41</v>
      </c>
      <c r="AH10" s="15" t="str">
        <f t="shared" si="4"/>
        <v>WO</v>
      </c>
      <c r="AI10" s="15" t="s">
        <v>41</v>
      </c>
      <c r="AJ10" s="15" t="s">
        <v>41</v>
      </c>
      <c r="AK10" s="15" t="s">
        <v>41</v>
      </c>
      <c r="AL10" s="45" t="s">
        <v>43</v>
      </c>
      <c r="AM10" s="16" t="s">
        <v>43</v>
      </c>
      <c r="AN10" s="41"/>
      <c r="AO10" s="41"/>
      <c r="AP10" s="30"/>
      <c r="AQ10" s="9">
        <v>4</v>
      </c>
      <c r="AR10" s="9" t="s">
        <v>6</v>
      </c>
      <c r="AS10" s="9" t="str">
        <f t="shared" si="5"/>
        <v>January</v>
      </c>
      <c r="AT10" s="10">
        <v>10004</v>
      </c>
      <c r="AU10" s="15">
        <f t="shared" si="6"/>
        <v>22</v>
      </c>
      <c r="AV10" s="15">
        <f t="shared" si="7"/>
        <v>0</v>
      </c>
      <c r="AW10" s="15">
        <f t="shared" si="8"/>
        <v>5</v>
      </c>
      <c r="AX10" s="15">
        <f t="shared" si="9"/>
        <v>4</v>
      </c>
      <c r="AY10" s="25">
        <f t="shared" si="10"/>
        <v>31</v>
      </c>
      <c r="AZ10" s="25">
        <f>JanReport[[#This Row],[Days]]-JanReport[[#This Row],[Abesent]]</f>
        <v>31</v>
      </c>
      <c r="BA10" s="26">
        <v>21000</v>
      </c>
      <c r="BB10" s="27">
        <f>JanReport[[#This Row],[Salary]]/JanReport[[#This Row],[Days]]</f>
        <v>677.41935483870964</v>
      </c>
      <c r="BC10" s="27">
        <f>JanReport[[#This Row],[PerDaySalary]]*JanReport[[#This Row],[Abesent]]</f>
        <v>0</v>
      </c>
      <c r="BD10" s="27">
        <f>JanReport[[#This Row],[Salary]]-JanReport[[#This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4</v>
      </c>
      <c r="I11" s="15" t="s">
        <v>41</v>
      </c>
      <c r="J11" s="15" t="s">
        <v>41</v>
      </c>
      <c r="K11" s="15" t="s">
        <v>41</v>
      </c>
      <c r="L11" s="15" t="s">
        <v>41</v>
      </c>
      <c r="M11" s="15" t="str">
        <f t="shared" si="3"/>
        <v>WO</v>
      </c>
      <c r="N11" s="15" t="s">
        <v>41</v>
      </c>
      <c r="O11" s="15" t="s">
        <v>41</v>
      </c>
      <c r="P11" s="15" t="s">
        <v>41</v>
      </c>
      <c r="Q11" s="15" t="s">
        <v>41</v>
      </c>
      <c r="R11" s="15" t="s">
        <v>41</v>
      </c>
      <c r="S11" s="15" t="s">
        <v>41</v>
      </c>
      <c r="T11" s="15" t="str">
        <f t="shared" si="3"/>
        <v>WO</v>
      </c>
      <c r="U11" s="15" t="s">
        <v>41</v>
      </c>
      <c r="V11" s="15" t="s">
        <v>41</v>
      </c>
      <c r="W11" s="15" t="s">
        <v>41</v>
      </c>
      <c r="X11" s="15" t="s">
        <v>41</v>
      </c>
      <c r="Y11" s="15" t="s">
        <v>41</v>
      </c>
      <c r="Z11" s="15" t="s">
        <v>41</v>
      </c>
      <c r="AA11" s="15" t="str">
        <f t="shared" si="4"/>
        <v>WO</v>
      </c>
      <c r="AB11" s="15" t="s">
        <v>41</v>
      </c>
      <c r="AC11" s="15" t="s">
        <v>41</v>
      </c>
      <c r="AD11" s="15" t="s">
        <v>41</v>
      </c>
      <c r="AE11" s="15" t="s">
        <v>41</v>
      </c>
      <c r="AF11" s="15" t="s">
        <v>41</v>
      </c>
      <c r="AG11" s="15" t="s">
        <v>41</v>
      </c>
      <c r="AH11" s="15" t="str">
        <f t="shared" si="4"/>
        <v>WO</v>
      </c>
      <c r="AI11" s="15" t="s">
        <v>41</v>
      </c>
      <c r="AJ11" s="15" t="s">
        <v>41</v>
      </c>
      <c r="AK11" s="15" t="s">
        <v>41</v>
      </c>
      <c r="AL11" s="15" t="s">
        <v>41</v>
      </c>
      <c r="AM11" s="16" t="s">
        <v>43</v>
      </c>
      <c r="AN11" s="41"/>
      <c r="AO11" s="41"/>
      <c r="AP11" s="30"/>
      <c r="AQ11" s="9">
        <v>5</v>
      </c>
      <c r="AR11" s="9" t="s">
        <v>7</v>
      </c>
      <c r="AS11" s="9" t="str">
        <f t="shared" si="5"/>
        <v>January</v>
      </c>
      <c r="AT11" s="10">
        <v>10005</v>
      </c>
      <c r="AU11" s="15">
        <f t="shared" si="6"/>
        <v>26</v>
      </c>
      <c r="AV11" s="15">
        <f t="shared" si="7"/>
        <v>0</v>
      </c>
      <c r="AW11" s="15">
        <f t="shared" si="8"/>
        <v>1</v>
      </c>
      <c r="AX11" s="15">
        <f t="shared" si="9"/>
        <v>4</v>
      </c>
      <c r="AY11" s="25">
        <f t="shared" si="10"/>
        <v>31</v>
      </c>
      <c r="AZ11" s="25">
        <f>JanReport[[#This Row],[Days]]-JanReport[[#This Row],[Abesent]]</f>
        <v>31</v>
      </c>
      <c r="BA11" s="26">
        <v>18000</v>
      </c>
      <c r="BB11" s="27">
        <f>JanReport[[#This Row],[Salary]]/JanReport[[#This Row],[Days]]</f>
        <v>580.64516129032256</v>
      </c>
      <c r="BC11" s="27">
        <f>JanReport[[#This Row],[PerDaySalary]]*JanReport[[#This Row],[Abesent]]</f>
        <v>0</v>
      </c>
      <c r="BD11" s="27">
        <f>JanReport[[#This Row],[Salary]]-JanReport[[#This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4</v>
      </c>
      <c r="I12" s="15" t="s">
        <v>41</v>
      </c>
      <c r="J12" s="15" t="s">
        <v>41</v>
      </c>
      <c r="K12" s="15" t="s">
        <v>41</v>
      </c>
      <c r="L12" s="15" t="s">
        <v>41</v>
      </c>
      <c r="M12" s="15" t="str">
        <f t="shared" si="3"/>
        <v>WO</v>
      </c>
      <c r="N12" s="15" t="s">
        <v>41</v>
      </c>
      <c r="O12" s="15" t="s">
        <v>41</v>
      </c>
      <c r="P12" s="15" t="s">
        <v>41</v>
      </c>
      <c r="Q12" s="15" t="s">
        <v>41</v>
      </c>
      <c r="R12" s="15" t="s">
        <v>41</v>
      </c>
      <c r="S12" s="15" t="s">
        <v>41</v>
      </c>
      <c r="T12" s="15" t="str">
        <f t="shared" si="3"/>
        <v>WO</v>
      </c>
      <c r="U12" s="15" t="s">
        <v>41</v>
      </c>
      <c r="V12" s="15" t="s">
        <v>41</v>
      </c>
      <c r="W12" s="15" t="s">
        <v>41</v>
      </c>
      <c r="X12" s="15" t="s">
        <v>41</v>
      </c>
      <c r="Y12" s="15" t="s">
        <v>41</v>
      </c>
      <c r="Z12" s="15" t="s">
        <v>41</v>
      </c>
      <c r="AA12" s="15" t="str">
        <f t="shared" si="4"/>
        <v>WO</v>
      </c>
      <c r="AB12" s="15" t="s">
        <v>41</v>
      </c>
      <c r="AC12" s="15" t="s">
        <v>41</v>
      </c>
      <c r="AD12" s="15" t="s">
        <v>41</v>
      </c>
      <c r="AE12" s="15" t="s">
        <v>41</v>
      </c>
      <c r="AF12" s="15" t="s">
        <v>41</v>
      </c>
      <c r="AG12" s="15" t="s">
        <v>41</v>
      </c>
      <c r="AH12" s="15" t="str">
        <f t="shared" si="4"/>
        <v>WO</v>
      </c>
      <c r="AI12" s="15" t="s">
        <v>41</v>
      </c>
      <c r="AJ12" s="15" t="s">
        <v>41</v>
      </c>
      <c r="AK12" s="15" t="s">
        <v>41</v>
      </c>
      <c r="AL12" s="15" t="s">
        <v>41</v>
      </c>
      <c r="AM12" s="16" t="s">
        <v>43</v>
      </c>
      <c r="AN12" s="41"/>
      <c r="AO12" s="41"/>
      <c r="AP12" s="30"/>
      <c r="AQ12" s="9">
        <v>6</v>
      </c>
      <c r="AR12" s="9" t="s">
        <v>8</v>
      </c>
      <c r="AS12" s="9" t="str">
        <f t="shared" si="5"/>
        <v>January</v>
      </c>
      <c r="AT12" s="10">
        <v>10006</v>
      </c>
      <c r="AU12" s="15">
        <f t="shared" si="6"/>
        <v>26</v>
      </c>
      <c r="AV12" s="15">
        <f t="shared" si="7"/>
        <v>0</v>
      </c>
      <c r="AW12" s="15">
        <f t="shared" si="8"/>
        <v>1</v>
      </c>
      <c r="AX12" s="15">
        <f t="shared" si="9"/>
        <v>4</v>
      </c>
      <c r="AY12" s="25">
        <f t="shared" si="10"/>
        <v>31</v>
      </c>
      <c r="AZ12" s="25">
        <f>JanReport[[#This Row],[Days]]-JanReport[[#This Row],[Abesent]]</f>
        <v>31</v>
      </c>
      <c r="BA12" s="26">
        <v>17000</v>
      </c>
      <c r="BB12" s="27">
        <f>JanReport[[#This Row],[Salary]]/JanReport[[#This Row],[Days]]</f>
        <v>548.38709677419354</v>
      </c>
      <c r="BC12" s="27">
        <f>JanReport[[#This Row],[PerDaySalary]]*JanReport[[#This Row],[Abesent]]</f>
        <v>0</v>
      </c>
      <c r="BD12" s="27">
        <f>JanReport[[#This Row],[Salary]]-JanReport[[#This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4</v>
      </c>
      <c r="I13" s="15" t="s">
        <v>41</v>
      </c>
      <c r="J13" s="15" t="s">
        <v>41</v>
      </c>
      <c r="K13" s="15" t="s">
        <v>42</v>
      </c>
      <c r="L13" s="15" t="s">
        <v>41</v>
      </c>
      <c r="M13" s="15" t="str">
        <f t="shared" si="3"/>
        <v>WO</v>
      </c>
      <c r="N13" s="15" t="s">
        <v>41</v>
      </c>
      <c r="O13" s="15" t="s">
        <v>41</v>
      </c>
      <c r="P13" s="15" t="s">
        <v>42</v>
      </c>
      <c r="Q13" s="15" t="s">
        <v>41</v>
      </c>
      <c r="R13" s="15" t="s">
        <v>41</v>
      </c>
      <c r="S13" s="15" t="s">
        <v>41</v>
      </c>
      <c r="T13" s="15" t="str">
        <f t="shared" si="3"/>
        <v>WO</v>
      </c>
      <c r="U13" s="15" t="s">
        <v>41</v>
      </c>
      <c r="V13" s="15" t="s">
        <v>41</v>
      </c>
      <c r="W13" s="15" t="s">
        <v>42</v>
      </c>
      <c r="X13" s="15" t="s">
        <v>41</v>
      </c>
      <c r="Y13" s="15" t="s">
        <v>41</v>
      </c>
      <c r="Z13" s="15" t="s">
        <v>41</v>
      </c>
      <c r="AA13" s="15" t="str">
        <f t="shared" si="4"/>
        <v>WO</v>
      </c>
      <c r="AB13" s="15" t="s">
        <v>41</v>
      </c>
      <c r="AC13" s="15" t="s">
        <v>41</v>
      </c>
      <c r="AD13" s="15" t="s">
        <v>42</v>
      </c>
      <c r="AE13" s="15" t="s">
        <v>41</v>
      </c>
      <c r="AF13" s="15" t="s">
        <v>41</v>
      </c>
      <c r="AG13" s="15" t="s">
        <v>41</v>
      </c>
      <c r="AH13" s="15" t="str">
        <f t="shared" si="4"/>
        <v>WO</v>
      </c>
      <c r="AI13" s="15" t="s">
        <v>41</v>
      </c>
      <c r="AJ13" s="15" t="s">
        <v>41</v>
      </c>
      <c r="AK13" s="15" t="s">
        <v>42</v>
      </c>
      <c r="AL13" s="15" t="s">
        <v>41</v>
      </c>
      <c r="AM13" s="16" t="s">
        <v>43</v>
      </c>
      <c r="AN13" s="41"/>
      <c r="AO13" s="41"/>
      <c r="AP13" s="30"/>
      <c r="AQ13" s="9">
        <v>7</v>
      </c>
      <c r="AR13" s="9" t="s">
        <v>9</v>
      </c>
      <c r="AS13" s="9" t="str">
        <f t="shared" si="5"/>
        <v>January</v>
      </c>
      <c r="AT13" s="10">
        <v>10007</v>
      </c>
      <c r="AU13" s="15">
        <f t="shared" si="6"/>
        <v>21</v>
      </c>
      <c r="AV13" s="15">
        <f t="shared" si="7"/>
        <v>5</v>
      </c>
      <c r="AW13" s="15">
        <f t="shared" si="8"/>
        <v>1</v>
      </c>
      <c r="AX13" s="15">
        <f t="shared" si="9"/>
        <v>4</v>
      </c>
      <c r="AY13" s="25">
        <f t="shared" si="10"/>
        <v>31</v>
      </c>
      <c r="AZ13" s="25">
        <f>JanReport[[#This Row],[Days]]-JanReport[[#This Row],[Abesent]]</f>
        <v>26</v>
      </c>
      <c r="BA13" s="26">
        <v>15000</v>
      </c>
      <c r="BB13" s="27">
        <f>JanReport[[#This Row],[Salary]]/JanReport[[#This Row],[Days]]</f>
        <v>483.87096774193549</v>
      </c>
      <c r="BC13" s="27">
        <f>JanReport[[#This Row],[PerDaySalary]]*JanReport[[#This Row],[Abesent]]</f>
        <v>2419.3548387096776</v>
      </c>
      <c r="BD13" s="27">
        <f>JanReport[[#This Row],[Salary]]-JanReport[[#This Row],[Deduction]]</f>
        <v>12580.645161290322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4</v>
      </c>
      <c r="I14" s="15" t="s">
        <v>41</v>
      </c>
      <c r="J14" s="15" t="s">
        <v>41</v>
      </c>
      <c r="K14" s="15" t="s">
        <v>41</v>
      </c>
      <c r="L14" s="15" t="s">
        <v>41</v>
      </c>
      <c r="M14" s="15" t="str">
        <f t="shared" si="3"/>
        <v>WO</v>
      </c>
      <c r="N14" s="15" t="s">
        <v>41</v>
      </c>
      <c r="O14" s="15" t="s">
        <v>41</v>
      </c>
      <c r="P14" s="15" t="s">
        <v>41</v>
      </c>
      <c r="Q14" s="15" t="s">
        <v>41</v>
      </c>
      <c r="R14" s="15" t="s">
        <v>41</v>
      </c>
      <c r="S14" s="15" t="s">
        <v>41</v>
      </c>
      <c r="T14" s="15" t="str">
        <f t="shared" si="3"/>
        <v>WO</v>
      </c>
      <c r="U14" s="15" t="s">
        <v>41</v>
      </c>
      <c r="V14" s="15" t="s">
        <v>41</v>
      </c>
      <c r="W14" s="15" t="s">
        <v>41</v>
      </c>
      <c r="X14" s="15" t="s">
        <v>41</v>
      </c>
      <c r="Y14" s="15" t="s">
        <v>41</v>
      </c>
      <c r="Z14" s="15" t="s">
        <v>41</v>
      </c>
      <c r="AA14" s="15" t="str">
        <f t="shared" si="4"/>
        <v>WO</v>
      </c>
      <c r="AB14" s="15" t="s">
        <v>41</v>
      </c>
      <c r="AC14" s="15" t="s">
        <v>41</v>
      </c>
      <c r="AD14" s="15" t="s">
        <v>41</v>
      </c>
      <c r="AE14" s="15" t="s">
        <v>41</v>
      </c>
      <c r="AF14" s="15" t="s">
        <v>41</v>
      </c>
      <c r="AG14" s="15" t="s">
        <v>41</v>
      </c>
      <c r="AH14" s="15" t="str">
        <f t="shared" si="4"/>
        <v>WO</v>
      </c>
      <c r="AI14" s="15" t="s">
        <v>41</v>
      </c>
      <c r="AJ14" s="15" t="s">
        <v>41</v>
      </c>
      <c r="AK14" s="15" t="s">
        <v>41</v>
      </c>
      <c r="AL14" s="15" t="s">
        <v>41</v>
      </c>
      <c r="AM14" s="16" t="s">
        <v>43</v>
      </c>
      <c r="AN14" s="41"/>
      <c r="AO14" s="41"/>
      <c r="AP14" s="30"/>
      <c r="AQ14" s="9">
        <v>8</v>
      </c>
      <c r="AR14" s="9" t="s">
        <v>10</v>
      </c>
      <c r="AS14" s="9" t="str">
        <f t="shared" si="5"/>
        <v>January</v>
      </c>
      <c r="AT14" s="10">
        <v>10008</v>
      </c>
      <c r="AU14" s="15">
        <f t="shared" si="6"/>
        <v>26</v>
      </c>
      <c r="AV14" s="15">
        <f t="shared" si="7"/>
        <v>0</v>
      </c>
      <c r="AW14" s="15">
        <f t="shared" si="8"/>
        <v>1</v>
      </c>
      <c r="AX14" s="15">
        <f t="shared" si="9"/>
        <v>4</v>
      </c>
      <c r="AY14" s="25">
        <f t="shared" si="10"/>
        <v>31</v>
      </c>
      <c r="AZ14" s="25">
        <f>JanReport[[#This Row],[Days]]-JanReport[[#This Row],[Abesent]]</f>
        <v>31</v>
      </c>
      <c r="BA14" s="26">
        <v>21000</v>
      </c>
      <c r="BB14" s="27">
        <f>JanReport[[#This Row],[Salary]]/JanReport[[#This Row],[Days]]</f>
        <v>677.41935483870964</v>
      </c>
      <c r="BC14" s="27">
        <f>JanReport[[#This Row],[PerDaySalary]]*JanReport[[#This Row],[Abesent]]</f>
        <v>0</v>
      </c>
      <c r="BD14" s="27">
        <f>JanReport[[#This Row],[Salary]]-JanReport[[#This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4</v>
      </c>
      <c r="I15" s="15" t="s">
        <v>41</v>
      </c>
      <c r="J15" s="15" t="s">
        <v>41</v>
      </c>
      <c r="K15" s="15" t="s">
        <v>41</v>
      </c>
      <c r="L15" s="15" t="s">
        <v>41</v>
      </c>
      <c r="M15" s="15" t="str">
        <f t="shared" si="3"/>
        <v>WO</v>
      </c>
      <c r="N15" s="15" t="s">
        <v>41</v>
      </c>
      <c r="O15" s="15" t="s">
        <v>41</v>
      </c>
      <c r="P15" s="15" t="s">
        <v>41</v>
      </c>
      <c r="Q15" s="15" t="s">
        <v>41</v>
      </c>
      <c r="R15" s="15" t="s">
        <v>41</v>
      </c>
      <c r="S15" s="15" t="s">
        <v>41</v>
      </c>
      <c r="T15" s="15" t="str">
        <f t="shared" si="3"/>
        <v>WO</v>
      </c>
      <c r="U15" s="15" t="s">
        <v>41</v>
      </c>
      <c r="V15" s="15" t="s">
        <v>41</v>
      </c>
      <c r="W15" s="15" t="s">
        <v>41</v>
      </c>
      <c r="X15" s="15" t="s">
        <v>41</v>
      </c>
      <c r="Y15" s="15" t="s">
        <v>41</v>
      </c>
      <c r="Z15" s="15" t="s">
        <v>41</v>
      </c>
      <c r="AA15" s="15" t="str">
        <f t="shared" si="4"/>
        <v>WO</v>
      </c>
      <c r="AB15" s="15" t="s">
        <v>41</v>
      </c>
      <c r="AC15" s="15" t="s">
        <v>41</v>
      </c>
      <c r="AD15" s="15" t="s">
        <v>41</v>
      </c>
      <c r="AE15" s="15" t="s">
        <v>41</v>
      </c>
      <c r="AF15" s="15" t="s">
        <v>41</v>
      </c>
      <c r="AG15" s="15" t="s">
        <v>41</v>
      </c>
      <c r="AH15" s="15" t="str">
        <f t="shared" si="4"/>
        <v>WO</v>
      </c>
      <c r="AI15" s="15" t="s">
        <v>41</v>
      </c>
      <c r="AJ15" s="15" t="s">
        <v>41</v>
      </c>
      <c r="AK15" s="15" t="s">
        <v>41</v>
      </c>
      <c r="AL15" s="15" t="s">
        <v>41</v>
      </c>
      <c r="AM15" s="16" t="s">
        <v>43</v>
      </c>
      <c r="AN15" s="41"/>
      <c r="AO15" s="41"/>
      <c r="AP15" s="30"/>
      <c r="AQ15" s="9">
        <v>9</v>
      </c>
      <c r="AR15" s="9" t="s">
        <v>11</v>
      </c>
      <c r="AS15" s="9" t="str">
        <f t="shared" si="5"/>
        <v>January</v>
      </c>
      <c r="AT15" s="10">
        <v>10009</v>
      </c>
      <c r="AU15" s="15">
        <f t="shared" si="6"/>
        <v>26</v>
      </c>
      <c r="AV15" s="15">
        <f t="shared" si="7"/>
        <v>0</v>
      </c>
      <c r="AW15" s="15">
        <f t="shared" si="8"/>
        <v>1</v>
      </c>
      <c r="AX15" s="15">
        <f t="shared" si="9"/>
        <v>4</v>
      </c>
      <c r="AY15" s="25">
        <f t="shared" si="10"/>
        <v>31</v>
      </c>
      <c r="AZ15" s="25">
        <f>JanReport[[#This Row],[Days]]-JanReport[[#This Row],[Abesent]]</f>
        <v>31</v>
      </c>
      <c r="BA15" s="26">
        <v>22000</v>
      </c>
      <c r="BB15" s="27">
        <f>JanReport[[#This Row],[Salary]]/JanReport[[#This Row],[Days]]</f>
        <v>709.67741935483866</v>
      </c>
      <c r="BC15" s="27">
        <f>JanReport[[#This Row],[PerDaySalary]]*JanReport[[#This Row],[Abesent]]</f>
        <v>0</v>
      </c>
      <c r="BD15" s="27">
        <f>JanReport[[#This Row],[Salary]]-JanReport[[#This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4</v>
      </c>
      <c r="I16" s="15" t="s">
        <v>41</v>
      </c>
      <c r="J16" s="15" t="s">
        <v>41</v>
      </c>
      <c r="K16" s="15" t="s">
        <v>41</v>
      </c>
      <c r="L16" s="15" t="s">
        <v>41</v>
      </c>
      <c r="M16" s="15" t="str">
        <f t="shared" si="3"/>
        <v>WO</v>
      </c>
      <c r="N16" s="15" t="s">
        <v>41</v>
      </c>
      <c r="O16" s="15" t="s">
        <v>41</v>
      </c>
      <c r="P16" s="15" t="s">
        <v>41</v>
      </c>
      <c r="Q16" s="15" t="s">
        <v>41</v>
      </c>
      <c r="R16" s="15" t="s">
        <v>41</v>
      </c>
      <c r="S16" s="15" t="s">
        <v>41</v>
      </c>
      <c r="T16" s="15" t="str">
        <f t="shared" si="3"/>
        <v>WO</v>
      </c>
      <c r="U16" s="15" t="s">
        <v>41</v>
      </c>
      <c r="V16" s="15" t="s">
        <v>41</v>
      </c>
      <c r="W16" s="15" t="s">
        <v>41</v>
      </c>
      <c r="X16" s="15" t="s">
        <v>41</v>
      </c>
      <c r="Y16" s="15" t="s">
        <v>41</v>
      </c>
      <c r="Z16" s="15" t="s">
        <v>41</v>
      </c>
      <c r="AA16" s="15" t="str">
        <f t="shared" si="4"/>
        <v>WO</v>
      </c>
      <c r="AB16" s="15" t="s">
        <v>41</v>
      </c>
      <c r="AC16" s="15" t="s">
        <v>41</v>
      </c>
      <c r="AD16" s="15" t="s">
        <v>41</v>
      </c>
      <c r="AE16" s="15" t="s">
        <v>41</v>
      </c>
      <c r="AF16" s="15" t="s">
        <v>41</v>
      </c>
      <c r="AG16" s="15" t="s">
        <v>41</v>
      </c>
      <c r="AH16" s="15" t="str">
        <f t="shared" si="4"/>
        <v>WO</v>
      </c>
      <c r="AI16" s="15" t="s">
        <v>41</v>
      </c>
      <c r="AJ16" s="15" t="s">
        <v>41</v>
      </c>
      <c r="AK16" s="15" t="s">
        <v>41</v>
      </c>
      <c r="AL16" s="15" t="s">
        <v>41</v>
      </c>
      <c r="AM16" s="16" t="s">
        <v>43</v>
      </c>
      <c r="AN16" s="41"/>
      <c r="AO16" s="41"/>
      <c r="AP16" s="30"/>
      <c r="AQ16" s="9">
        <v>10</v>
      </c>
      <c r="AR16" s="9" t="s">
        <v>12</v>
      </c>
      <c r="AS16" s="9" t="str">
        <f t="shared" si="5"/>
        <v>January</v>
      </c>
      <c r="AT16" s="10">
        <v>10010</v>
      </c>
      <c r="AU16" s="15">
        <f t="shared" si="6"/>
        <v>26</v>
      </c>
      <c r="AV16" s="15">
        <f t="shared" si="7"/>
        <v>0</v>
      </c>
      <c r="AW16" s="15">
        <f t="shared" si="8"/>
        <v>1</v>
      </c>
      <c r="AX16" s="15">
        <f t="shared" si="9"/>
        <v>4</v>
      </c>
      <c r="AY16" s="25">
        <f t="shared" si="10"/>
        <v>31</v>
      </c>
      <c r="AZ16" s="25">
        <f>JanReport[[#This Row],[Days]]-JanReport[[#This Row],[Abesent]]</f>
        <v>31</v>
      </c>
      <c r="BA16" s="26">
        <v>25000</v>
      </c>
      <c r="BB16" s="27">
        <f>JanReport[[#This Row],[Salary]]/JanReport[[#This Row],[Days]]</f>
        <v>806.45161290322585</v>
      </c>
      <c r="BC16" s="27">
        <f>JanReport[[#This Row],[PerDaySalary]]*JanReport[[#This Row],[Abesent]]</f>
        <v>0</v>
      </c>
      <c r="BD16" s="27">
        <f>JanReport[[#This Row],[Salary]]-JanReport[[#This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4</v>
      </c>
      <c r="I17" s="15" t="s">
        <v>41</v>
      </c>
      <c r="J17" s="15" t="s">
        <v>41</v>
      </c>
      <c r="K17" s="15" t="s">
        <v>41</v>
      </c>
      <c r="L17" s="15" t="s">
        <v>41</v>
      </c>
      <c r="M17" s="15" t="str">
        <f t="shared" si="3"/>
        <v>WO</v>
      </c>
      <c r="N17" s="15" t="s">
        <v>41</v>
      </c>
      <c r="O17" s="15" t="s">
        <v>41</v>
      </c>
      <c r="P17" s="15" t="s">
        <v>41</v>
      </c>
      <c r="Q17" s="15" t="s">
        <v>41</v>
      </c>
      <c r="R17" s="15" t="s">
        <v>41</v>
      </c>
      <c r="S17" s="15" t="s">
        <v>42</v>
      </c>
      <c r="T17" s="15" t="str">
        <f t="shared" si="3"/>
        <v>WO</v>
      </c>
      <c r="U17" s="15" t="s">
        <v>41</v>
      </c>
      <c r="V17" s="15" t="s">
        <v>41</v>
      </c>
      <c r="W17" s="15" t="s">
        <v>41</v>
      </c>
      <c r="X17" s="15" t="s">
        <v>41</v>
      </c>
      <c r="Y17" s="15" t="s">
        <v>41</v>
      </c>
      <c r="Z17" s="15" t="s">
        <v>42</v>
      </c>
      <c r="AA17" s="15" t="str">
        <f t="shared" si="4"/>
        <v>WO</v>
      </c>
      <c r="AB17" s="15" t="s">
        <v>41</v>
      </c>
      <c r="AC17" s="15" t="s">
        <v>41</v>
      </c>
      <c r="AD17" s="15" t="s">
        <v>41</v>
      </c>
      <c r="AE17" s="15" t="s">
        <v>41</v>
      </c>
      <c r="AF17" s="15" t="s">
        <v>41</v>
      </c>
      <c r="AG17" s="15" t="s">
        <v>42</v>
      </c>
      <c r="AH17" s="15" t="str">
        <f t="shared" si="4"/>
        <v>WO</v>
      </c>
      <c r="AI17" s="15" t="s">
        <v>41</v>
      </c>
      <c r="AJ17" s="15" t="s">
        <v>41</v>
      </c>
      <c r="AK17" s="15" t="s">
        <v>41</v>
      </c>
      <c r="AL17" s="15" t="s">
        <v>41</v>
      </c>
      <c r="AM17" s="16" t="s">
        <v>43</v>
      </c>
      <c r="AN17" s="41"/>
      <c r="AO17" s="41"/>
      <c r="AP17" s="30"/>
      <c r="AQ17" s="9">
        <v>11</v>
      </c>
      <c r="AR17" s="9" t="s">
        <v>13</v>
      </c>
      <c r="AS17" s="9" t="str">
        <f t="shared" si="5"/>
        <v>January</v>
      </c>
      <c r="AT17" s="10">
        <v>10011</v>
      </c>
      <c r="AU17" s="15">
        <f t="shared" si="6"/>
        <v>23</v>
      </c>
      <c r="AV17" s="15">
        <f t="shared" si="7"/>
        <v>3</v>
      </c>
      <c r="AW17" s="15">
        <f t="shared" si="8"/>
        <v>1</v>
      </c>
      <c r="AX17" s="15">
        <f t="shared" si="9"/>
        <v>4</v>
      </c>
      <c r="AY17" s="25">
        <f t="shared" si="10"/>
        <v>31</v>
      </c>
      <c r="AZ17" s="25">
        <f>JanReport[[#This Row],[Days]]-JanReport[[#This Row],[Abesent]]</f>
        <v>28</v>
      </c>
      <c r="BA17" s="26">
        <v>15000</v>
      </c>
      <c r="BB17" s="27">
        <f>JanReport[[#This Row],[Salary]]/JanReport[[#This Row],[Days]]</f>
        <v>483.87096774193549</v>
      </c>
      <c r="BC17" s="27">
        <f>JanReport[[#This Row],[PerDaySalary]]*JanReport[[#This Row],[Abesent]]</f>
        <v>1451.6129032258063</v>
      </c>
      <c r="BD17" s="27">
        <f>JanReport[[#This Row],[Salary]]-JanReport[[#This Row],[Deduction]]</f>
        <v>13548.387096774193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4</v>
      </c>
      <c r="I18" s="15" t="s">
        <v>41</v>
      </c>
      <c r="J18" s="15" t="s">
        <v>41</v>
      </c>
      <c r="K18" s="15" t="s">
        <v>41</v>
      </c>
      <c r="L18" s="15" t="s">
        <v>41</v>
      </c>
      <c r="M18" s="15" t="str">
        <f t="shared" si="3"/>
        <v>WO</v>
      </c>
      <c r="N18" s="15" t="s">
        <v>41</v>
      </c>
      <c r="O18" s="15" t="s">
        <v>41</v>
      </c>
      <c r="P18" s="15" t="s">
        <v>41</v>
      </c>
      <c r="Q18" s="15" t="s">
        <v>41</v>
      </c>
      <c r="R18" s="15" t="s">
        <v>41</v>
      </c>
      <c r="S18" s="15" t="s">
        <v>41</v>
      </c>
      <c r="T18" s="15" t="str">
        <f t="shared" si="3"/>
        <v>WO</v>
      </c>
      <c r="U18" s="15" t="s">
        <v>41</v>
      </c>
      <c r="V18" s="15" t="s">
        <v>41</v>
      </c>
      <c r="W18" s="15" t="s">
        <v>41</v>
      </c>
      <c r="X18" s="15" t="s">
        <v>41</v>
      </c>
      <c r="Y18" s="15" t="s">
        <v>41</v>
      </c>
      <c r="Z18" s="15" t="s">
        <v>41</v>
      </c>
      <c r="AA18" s="15" t="str">
        <f t="shared" si="4"/>
        <v>WO</v>
      </c>
      <c r="AB18" s="15" t="s">
        <v>41</v>
      </c>
      <c r="AC18" s="15" t="s">
        <v>41</v>
      </c>
      <c r="AD18" s="15" t="s">
        <v>41</v>
      </c>
      <c r="AE18" s="15" t="s">
        <v>41</v>
      </c>
      <c r="AF18" s="15" t="s">
        <v>41</v>
      </c>
      <c r="AG18" s="15" t="s">
        <v>41</v>
      </c>
      <c r="AH18" s="15" t="str">
        <f t="shared" si="4"/>
        <v>WO</v>
      </c>
      <c r="AI18" s="15" t="s">
        <v>41</v>
      </c>
      <c r="AJ18" s="15" t="s">
        <v>41</v>
      </c>
      <c r="AK18" s="15" t="s">
        <v>41</v>
      </c>
      <c r="AL18" s="15" t="s">
        <v>41</v>
      </c>
      <c r="AM18" s="16" t="s">
        <v>43</v>
      </c>
      <c r="AN18" s="41"/>
      <c r="AO18" s="41"/>
      <c r="AP18" s="30"/>
      <c r="AQ18" s="9">
        <v>12</v>
      </c>
      <c r="AR18" s="9" t="s">
        <v>14</v>
      </c>
      <c r="AS18" s="9" t="str">
        <f t="shared" si="5"/>
        <v>January</v>
      </c>
      <c r="AT18" s="10">
        <v>10012</v>
      </c>
      <c r="AU18" s="15">
        <f t="shared" si="6"/>
        <v>26</v>
      </c>
      <c r="AV18" s="15">
        <f t="shared" si="7"/>
        <v>0</v>
      </c>
      <c r="AW18" s="15">
        <f t="shared" si="8"/>
        <v>1</v>
      </c>
      <c r="AX18" s="15">
        <f t="shared" si="9"/>
        <v>4</v>
      </c>
      <c r="AY18" s="25">
        <f t="shared" si="10"/>
        <v>31</v>
      </c>
      <c r="AZ18" s="25">
        <f>JanReport[[#This Row],[Days]]-JanReport[[#This Row],[Abesent]]</f>
        <v>31</v>
      </c>
      <c r="BA18" s="26">
        <v>19000</v>
      </c>
      <c r="BB18" s="27">
        <f>JanReport[[#This Row],[Salary]]/JanReport[[#This Row],[Days]]</f>
        <v>612.90322580645159</v>
      </c>
      <c r="BC18" s="27">
        <f>JanReport[[#This Row],[PerDaySalary]]*JanReport[[#This Row],[Abesent]]</f>
        <v>0</v>
      </c>
      <c r="BD18" s="27">
        <f>JanReport[[#This Row],[Salary]]-JanReport[[#This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4</v>
      </c>
      <c r="I19" s="15" t="s">
        <v>41</v>
      </c>
      <c r="J19" s="15" t="s">
        <v>41</v>
      </c>
      <c r="K19" s="15" t="s">
        <v>41</v>
      </c>
      <c r="L19" s="15" t="s">
        <v>41</v>
      </c>
      <c r="M19" s="15" t="str">
        <f t="shared" ref="M19:T26" si="11">IF(M$5="Sun","WO","")</f>
        <v>WO</v>
      </c>
      <c r="N19" s="15" t="s">
        <v>41</v>
      </c>
      <c r="O19" s="15" t="s">
        <v>41</v>
      </c>
      <c r="P19" s="15" t="s">
        <v>41</v>
      </c>
      <c r="Q19" s="15" t="s">
        <v>41</v>
      </c>
      <c r="R19" s="15" t="s">
        <v>41</v>
      </c>
      <c r="S19" s="15" t="s">
        <v>41</v>
      </c>
      <c r="T19" s="15" t="str">
        <f t="shared" si="11"/>
        <v>WO</v>
      </c>
      <c r="U19" s="15" t="s">
        <v>41</v>
      </c>
      <c r="V19" s="15" t="s">
        <v>41</v>
      </c>
      <c r="W19" s="15" t="s">
        <v>41</v>
      </c>
      <c r="X19" s="15" t="s">
        <v>41</v>
      </c>
      <c r="Y19" s="15" t="s">
        <v>41</v>
      </c>
      <c r="Z19" s="15" t="s">
        <v>41</v>
      </c>
      <c r="AA19" s="15" t="str">
        <f t="shared" si="4"/>
        <v>WO</v>
      </c>
      <c r="AB19" s="15" t="s">
        <v>41</v>
      </c>
      <c r="AC19" s="15" t="s">
        <v>41</v>
      </c>
      <c r="AD19" s="15" t="s">
        <v>41</v>
      </c>
      <c r="AE19" s="15" t="s">
        <v>41</v>
      </c>
      <c r="AF19" s="15" t="s">
        <v>41</v>
      </c>
      <c r="AG19" s="15" t="s">
        <v>41</v>
      </c>
      <c r="AH19" s="15" t="str">
        <f t="shared" si="4"/>
        <v>WO</v>
      </c>
      <c r="AI19" s="15" t="s">
        <v>41</v>
      </c>
      <c r="AJ19" s="15" t="s">
        <v>41</v>
      </c>
      <c r="AK19" s="15" t="s">
        <v>41</v>
      </c>
      <c r="AL19" s="15" t="s">
        <v>41</v>
      </c>
      <c r="AM19" s="16" t="s">
        <v>43</v>
      </c>
      <c r="AN19" s="41"/>
      <c r="AO19" s="41"/>
      <c r="AP19" s="30"/>
      <c r="AQ19" s="9">
        <v>13</v>
      </c>
      <c r="AR19" s="9" t="s">
        <v>15</v>
      </c>
      <c r="AS19" s="9" t="str">
        <f t="shared" si="5"/>
        <v>January</v>
      </c>
      <c r="AT19" s="10">
        <v>10013</v>
      </c>
      <c r="AU19" s="15">
        <f t="shared" si="6"/>
        <v>26</v>
      </c>
      <c r="AV19" s="15">
        <f t="shared" si="7"/>
        <v>0</v>
      </c>
      <c r="AW19" s="15">
        <f t="shared" si="8"/>
        <v>1</v>
      </c>
      <c r="AX19" s="15">
        <f t="shared" si="9"/>
        <v>4</v>
      </c>
      <c r="AY19" s="25">
        <f t="shared" si="10"/>
        <v>31</v>
      </c>
      <c r="AZ19" s="25">
        <f>JanReport[[#This Row],[Days]]-JanReport[[#This Row],[Abesent]]</f>
        <v>31</v>
      </c>
      <c r="BA19" s="26">
        <v>20000</v>
      </c>
      <c r="BB19" s="27">
        <f>JanReport[[#This Row],[Salary]]/JanReport[[#This Row],[Days]]</f>
        <v>645.16129032258061</v>
      </c>
      <c r="BC19" s="27">
        <f>JanReport[[#This Row],[PerDaySalary]]*JanReport[[#This Row],[Abesent]]</f>
        <v>0</v>
      </c>
      <c r="BD19" s="27">
        <f>JanReport[[#This Row],[Salary]]-JanReport[[#This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4</v>
      </c>
      <c r="I20" s="15" t="s">
        <v>41</v>
      </c>
      <c r="J20" s="15" t="s">
        <v>41</v>
      </c>
      <c r="K20" s="15" t="s">
        <v>41</v>
      </c>
      <c r="L20" s="15" t="s">
        <v>41</v>
      </c>
      <c r="M20" s="15" t="str">
        <f t="shared" si="11"/>
        <v>WO</v>
      </c>
      <c r="N20" s="15" t="s">
        <v>41</v>
      </c>
      <c r="O20" s="15" t="s">
        <v>41</v>
      </c>
      <c r="P20" s="15" t="s">
        <v>41</v>
      </c>
      <c r="Q20" s="15" t="s">
        <v>41</v>
      </c>
      <c r="R20" s="15" t="s">
        <v>41</v>
      </c>
      <c r="S20" s="15" t="s">
        <v>41</v>
      </c>
      <c r="T20" s="15" t="str">
        <f t="shared" si="11"/>
        <v>WO</v>
      </c>
      <c r="U20" s="15" t="s">
        <v>41</v>
      </c>
      <c r="V20" s="15" t="s">
        <v>41</v>
      </c>
      <c r="W20" s="15" t="s">
        <v>41</v>
      </c>
      <c r="X20" s="15" t="s">
        <v>41</v>
      </c>
      <c r="Y20" s="15" t="s">
        <v>41</v>
      </c>
      <c r="Z20" s="15" t="s">
        <v>41</v>
      </c>
      <c r="AA20" s="15" t="str">
        <f t="shared" si="4"/>
        <v>WO</v>
      </c>
      <c r="AB20" s="15" t="s">
        <v>41</v>
      </c>
      <c r="AC20" s="15" t="s">
        <v>41</v>
      </c>
      <c r="AD20" s="15" t="s">
        <v>41</v>
      </c>
      <c r="AE20" s="15" t="s">
        <v>41</v>
      </c>
      <c r="AF20" s="15" t="s">
        <v>41</v>
      </c>
      <c r="AG20" s="15" t="s">
        <v>41</v>
      </c>
      <c r="AH20" s="15" t="str">
        <f t="shared" si="4"/>
        <v>WO</v>
      </c>
      <c r="AI20" s="15" t="s">
        <v>41</v>
      </c>
      <c r="AJ20" s="15" t="s">
        <v>41</v>
      </c>
      <c r="AK20" s="15" t="s">
        <v>41</v>
      </c>
      <c r="AL20" s="15" t="s">
        <v>41</v>
      </c>
      <c r="AM20" s="16" t="s">
        <v>43</v>
      </c>
      <c r="AN20" s="41"/>
      <c r="AO20" s="41"/>
      <c r="AP20" s="30"/>
      <c r="AQ20" s="9">
        <v>14</v>
      </c>
      <c r="AR20" s="9" t="s">
        <v>16</v>
      </c>
      <c r="AS20" s="9" t="str">
        <f t="shared" si="5"/>
        <v>January</v>
      </c>
      <c r="AT20" s="10">
        <v>10014</v>
      </c>
      <c r="AU20" s="15">
        <f t="shared" si="6"/>
        <v>26</v>
      </c>
      <c r="AV20" s="15">
        <f t="shared" si="7"/>
        <v>0</v>
      </c>
      <c r="AW20" s="15">
        <f t="shared" si="8"/>
        <v>1</v>
      </c>
      <c r="AX20" s="15">
        <f t="shared" si="9"/>
        <v>4</v>
      </c>
      <c r="AY20" s="25">
        <f t="shared" si="10"/>
        <v>31</v>
      </c>
      <c r="AZ20" s="25">
        <f>JanReport[[#This Row],[Days]]-JanReport[[#This Row],[Abesent]]</f>
        <v>31</v>
      </c>
      <c r="BA20" s="26">
        <v>19000</v>
      </c>
      <c r="BB20" s="27">
        <f>JanReport[[#This Row],[Salary]]/JanReport[[#This Row],[Days]]</f>
        <v>612.90322580645159</v>
      </c>
      <c r="BC20" s="27">
        <f>JanReport[[#This Row],[PerDaySalary]]*JanReport[[#This Row],[Abesent]]</f>
        <v>0</v>
      </c>
      <c r="BD20" s="27">
        <f>JanReport[[#This Row],[Salary]]-JanReport[[#This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4</v>
      </c>
      <c r="I21" s="15" t="s">
        <v>41</v>
      </c>
      <c r="J21" s="15" t="s">
        <v>41</v>
      </c>
      <c r="K21" s="15" t="s">
        <v>41</v>
      </c>
      <c r="L21" s="15" t="s">
        <v>41</v>
      </c>
      <c r="M21" s="15" t="str">
        <f t="shared" si="11"/>
        <v>WO</v>
      </c>
      <c r="N21" s="15" t="s">
        <v>41</v>
      </c>
      <c r="O21" s="15" t="s">
        <v>41</v>
      </c>
      <c r="P21" s="15" t="s">
        <v>41</v>
      </c>
      <c r="Q21" s="15" t="s">
        <v>41</v>
      </c>
      <c r="R21" s="15" t="s">
        <v>41</v>
      </c>
      <c r="S21" s="15" t="s">
        <v>41</v>
      </c>
      <c r="T21" s="15" t="str">
        <f t="shared" si="11"/>
        <v>WO</v>
      </c>
      <c r="U21" s="15" t="s">
        <v>41</v>
      </c>
      <c r="V21" s="15" t="s">
        <v>41</v>
      </c>
      <c r="W21" s="15" t="s">
        <v>41</v>
      </c>
      <c r="X21" s="15" t="s">
        <v>41</v>
      </c>
      <c r="Y21" s="15" t="s">
        <v>41</v>
      </c>
      <c r="Z21" s="15" t="s">
        <v>41</v>
      </c>
      <c r="AA21" s="15" t="str">
        <f t="shared" si="4"/>
        <v>WO</v>
      </c>
      <c r="AB21" s="15" t="s">
        <v>41</v>
      </c>
      <c r="AC21" s="15" t="s">
        <v>41</v>
      </c>
      <c r="AD21" s="15" t="s">
        <v>41</v>
      </c>
      <c r="AE21" s="15" t="s">
        <v>41</v>
      </c>
      <c r="AF21" s="15" t="s">
        <v>41</v>
      </c>
      <c r="AG21" s="15" t="s">
        <v>41</v>
      </c>
      <c r="AH21" s="15" t="str">
        <f t="shared" si="4"/>
        <v>WO</v>
      </c>
      <c r="AI21" s="15" t="s">
        <v>41</v>
      </c>
      <c r="AJ21" s="15" t="s">
        <v>41</v>
      </c>
      <c r="AK21" s="15" t="s">
        <v>41</v>
      </c>
      <c r="AL21" s="15" t="s">
        <v>41</v>
      </c>
      <c r="AM21" s="16" t="s">
        <v>43</v>
      </c>
      <c r="AN21" s="41"/>
      <c r="AO21" s="41"/>
      <c r="AP21" s="30"/>
      <c r="AQ21" s="9">
        <v>15</v>
      </c>
      <c r="AR21" s="9" t="s">
        <v>17</v>
      </c>
      <c r="AS21" s="9" t="str">
        <f t="shared" si="5"/>
        <v>January</v>
      </c>
      <c r="AT21" s="10">
        <v>10015</v>
      </c>
      <c r="AU21" s="15">
        <f t="shared" si="6"/>
        <v>26</v>
      </c>
      <c r="AV21" s="15">
        <f t="shared" si="7"/>
        <v>0</v>
      </c>
      <c r="AW21" s="15">
        <f t="shared" si="8"/>
        <v>1</v>
      </c>
      <c r="AX21" s="15">
        <f t="shared" si="9"/>
        <v>4</v>
      </c>
      <c r="AY21" s="25">
        <f t="shared" si="10"/>
        <v>31</v>
      </c>
      <c r="AZ21" s="25">
        <f>JanReport[[#This Row],[Days]]-JanReport[[#This Row],[Abesent]]</f>
        <v>31</v>
      </c>
      <c r="BA21" s="26">
        <v>25000</v>
      </c>
      <c r="BB21" s="27">
        <f>JanReport[[#This Row],[Salary]]/JanReport[[#This Row],[Days]]</f>
        <v>806.45161290322585</v>
      </c>
      <c r="BC21" s="27">
        <f>JanReport[[#This Row],[PerDaySalary]]*JanReport[[#This Row],[Abesent]]</f>
        <v>0</v>
      </c>
      <c r="BD21" s="27">
        <f>JanReport[[#This Row],[Salary]]-JanReport[[#This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4</v>
      </c>
      <c r="I22" s="15" t="s">
        <v>41</v>
      </c>
      <c r="J22" s="15" t="s">
        <v>41</v>
      </c>
      <c r="K22" s="15" t="s">
        <v>41</v>
      </c>
      <c r="L22" s="15" t="s">
        <v>42</v>
      </c>
      <c r="M22" s="15" t="str">
        <f t="shared" si="11"/>
        <v>WO</v>
      </c>
      <c r="N22" s="15" t="s">
        <v>41</v>
      </c>
      <c r="O22" s="15" t="s">
        <v>41</v>
      </c>
      <c r="P22" s="15" t="s">
        <v>41</v>
      </c>
      <c r="Q22" s="15" t="s">
        <v>41</v>
      </c>
      <c r="R22" s="15" t="s">
        <v>41</v>
      </c>
      <c r="S22" s="15" t="s">
        <v>41</v>
      </c>
      <c r="T22" s="15" t="str">
        <f t="shared" si="11"/>
        <v>WO</v>
      </c>
      <c r="U22" s="15" t="s">
        <v>41</v>
      </c>
      <c r="V22" s="15" t="s">
        <v>41</v>
      </c>
      <c r="W22" s="15" t="s">
        <v>41</v>
      </c>
      <c r="X22" s="15" t="s">
        <v>42</v>
      </c>
      <c r="Y22" s="15" t="s">
        <v>41</v>
      </c>
      <c r="Z22" s="15" t="s">
        <v>41</v>
      </c>
      <c r="AA22" s="15" t="str">
        <f t="shared" si="4"/>
        <v>WO</v>
      </c>
      <c r="AB22" s="15" t="s">
        <v>41</v>
      </c>
      <c r="AC22" s="15" t="s">
        <v>41</v>
      </c>
      <c r="AD22" s="15" t="s">
        <v>41</v>
      </c>
      <c r="AE22" s="15" t="s">
        <v>42</v>
      </c>
      <c r="AF22" s="15" t="s">
        <v>41</v>
      </c>
      <c r="AG22" s="15" t="s">
        <v>41</v>
      </c>
      <c r="AH22" s="15" t="str">
        <f t="shared" si="4"/>
        <v>WO</v>
      </c>
      <c r="AI22" s="15" t="s">
        <v>41</v>
      </c>
      <c r="AJ22" s="15" t="s">
        <v>41</v>
      </c>
      <c r="AK22" s="15" t="s">
        <v>41</v>
      </c>
      <c r="AL22" s="15" t="s">
        <v>42</v>
      </c>
      <c r="AM22" s="16" t="s">
        <v>43</v>
      </c>
      <c r="AN22" s="41"/>
      <c r="AO22" s="41"/>
      <c r="AP22" s="30"/>
      <c r="AQ22" s="9">
        <v>16</v>
      </c>
      <c r="AR22" s="9" t="s">
        <v>18</v>
      </c>
      <c r="AS22" s="9" t="str">
        <f t="shared" si="5"/>
        <v>January</v>
      </c>
      <c r="AT22" s="10">
        <v>10016</v>
      </c>
      <c r="AU22" s="15">
        <f t="shared" si="6"/>
        <v>22</v>
      </c>
      <c r="AV22" s="15">
        <f t="shared" si="7"/>
        <v>4</v>
      </c>
      <c r="AW22" s="15">
        <f t="shared" si="8"/>
        <v>1</v>
      </c>
      <c r="AX22" s="15">
        <f t="shared" si="9"/>
        <v>4</v>
      </c>
      <c r="AY22" s="25">
        <f t="shared" si="10"/>
        <v>31</v>
      </c>
      <c r="AZ22" s="25">
        <f>JanReport[[#This Row],[Days]]-JanReport[[#This Row],[Abesent]]</f>
        <v>27</v>
      </c>
      <c r="BA22" s="26">
        <v>32000</v>
      </c>
      <c r="BB22" s="27">
        <f>JanReport[[#This Row],[Salary]]/JanReport[[#This Row],[Days]]</f>
        <v>1032.258064516129</v>
      </c>
      <c r="BC22" s="27">
        <f>JanReport[[#This Row],[PerDaySalary]]*JanReport[[#This Row],[Abesent]]</f>
        <v>4129.0322580645161</v>
      </c>
      <c r="BD22" s="27">
        <f>JanReport[[#This Row],[Salary]]-JanReport[[#This Row],[Deduction]]</f>
        <v>27870.967741935485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4</v>
      </c>
      <c r="I23" s="15" t="s">
        <v>41</v>
      </c>
      <c r="J23" s="15" t="s">
        <v>41</v>
      </c>
      <c r="K23" s="15" t="s">
        <v>41</v>
      </c>
      <c r="L23" s="15" t="s">
        <v>41</v>
      </c>
      <c r="M23" s="15" t="str">
        <f t="shared" si="11"/>
        <v>WO</v>
      </c>
      <c r="N23" s="15" t="s">
        <v>41</v>
      </c>
      <c r="O23" s="15" t="s">
        <v>41</v>
      </c>
      <c r="P23" s="15" t="s">
        <v>41</v>
      </c>
      <c r="Q23" s="15" t="s">
        <v>41</v>
      </c>
      <c r="R23" s="15" t="s">
        <v>41</v>
      </c>
      <c r="S23" s="15" t="s">
        <v>41</v>
      </c>
      <c r="T23" s="15" t="str">
        <f t="shared" si="11"/>
        <v>WO</v>
      </c>
      <c r="U23" s="15" t="s">
        <v>41</v>
      </c>
      <c r="V23" s="15" t="s">
        <v>41</v>
      </c>
      <c r="W23" s="15" t="s">
        <v>41</v>
      </c>
      <c r="X23" s="15" t="s">
        <v>41</v>
      </c>
      <c r="Y23" s="15" t="s">
        <v>41</v>
      </c>
      <c r="Z23" s="15" t="s">
        <v>41</v>
      </c>
      <c r="AA23" s="15" t="str">
        <f t="shared" ref="AA23:AH26" si="12">IF(AA$5="Sun","WO","")</f>
        <v>WO</v>
      </c>
      <c r="AB23" s="15" t="s">
        <v>41</v>
      </c>
      <c r="AC23" s="15" t="s">
        <v>41</v>
      </c>
      <c r="AD23" s="15" t="s">
        <v>41</v>
      </c>
      <c r="AE23" s="15" t="s">
        <v>41</v>
      </c>
      <c r="AF23" s="15" t="s">
        <v>41</v>
      </c>
      <c r="AG23" s="15" t="s">
        <v>41</v>
      </c>
      <c r="AH23" s="15" t="str">
        <f t="shared" si="12"/>
        <v>WO</v>
      </c>
      <c r="AI23" s="15" t="s">
        <v>41</v>
      </c>
      <c r="AJ23" s="15" t="s">
        <v>41</v>
      </c>
      <c r="AK23" s="15" t="s">
        <v>41</v>
      </c>
      <c r="AL23" s="15" t="s">
        <v>41</v>
      </c>
      <c r="AM23" s="16" t="s">
        <v>43</v>
      </c>
      <c r="AN23" s="41"/>
      <c r="AO23" s="41"/>
      <c r="AP23" s="30"/>
      <c r="AQ23" s="9">
        <v>17</v>
      </c>
      <c r="AR23" s="9" t="s">
        <v>19</v>
      </c>
      <c r="AS23" s="9" t="str">
        <f t="shared" si="5"/>
        <v>January</v>
      </c>
      <c r="AT23" s="10">
        <v>10017</v>
      </c>
      <c r="AU23" s="15">
        <f t="shared" si="6"/>
        <v>26</v>
      </c>
      <c r="AV23" s="15">
        <f t="shared" si="7"/>
        <v>0</v>
      </c>
      <c r="AW23" s="15">
        <f t="shared" si="8"/>
        <v>1</v>
      </c>
      <c r="AX23" s="15">
        <f t="shared" si="9"/>
        <v>4</v>
      </c>
      <c r="AY23" s="25">
        <f t="shared" si="10"/>
        <v>31</v>
      </c>
      <c r="AZ23" s="25">
        <f>JanReport[[#This Row],[Days]]-JanReport[[#This Row],[Abesent]]</f>
        <v>31</v>
      </c>
      <c r="BA23" s="26">
        <v>35000</v>
      </c>
      <c r="BB23" s="27">
        <f>JanReport[[#This Row],[Salary]]/JanReport[[#This Row],[Days]]</f>
        <v>1129.0322580645161</v>
      </c>
      <c r="BC23" s="27">
        <f>JanReport[[#This Row],[PerDaySalary]]*JanReport[[#This Row],[Abesent]]</f>
        <v>0</v>
      </c>
      <c r="BD23" s="27">
        <f>JanReport[[#This Row],[Salary]]-JanReport[[#This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4</v>
      </c>
      <c r="I24" s="15" t="s">
        <v>41</v>
      </c>
      <c r="J24" s="15" t="s">
        <v>41</v>
      </c>
      <c r="K24" s="15" t="s">
        <v>41</v>
      </c>
      <c r="L24" s="15" t="s">
        <v>41</v>
      </c>
      <c r="M24" s="15" t="str">
        <f t="shared" si="11"/>
        <v>WO</v>
      </c>
      <c r="N24" s="15" t="s">
        <v>41</v>
      </c>
      <c r="O24" s="15" t="s">
        <v>41</v>
      </c>
      <c r="P24" s="15" t="s">
        <v>41</v>
      </c>
      <c r="Q24" s="15" t="s">
        <v>41</v>
      </c>
      <c r="R24" s="15" t="s">
        <v>41</v>
      </c>
      <c r="S24" s="15" t="s">
        <v>41</v>
      </c>
      <c r="T24" s="15" t="str">
        <f t="shared" si="11"/>
        <v>WO</v>
      </c>
      <c r="U24" s="15" t="s">
        <v>41</v>
      </c>
      <c r="V24" s="15" t="s">
        <v>41</v>
      </c>
      <c r="W24" s="15" t="s">
        <v>41</v>
      </c>
      <c r="X24" s="15" t="s">
        <v>41</v>
      </c>
      <c r="Y24" s="15" t="s">
        <v>41</v>
      </c>
      <c r="Z24" s="15" t="s">
        <v>41</v>
      </c>
      <c r="AA24" s="15" t="str">
        <f t="shared" si="12"/>
        <v>WO</v>
      </c>
      <c r="AB24" s="15" t="s">
        <v>41</v>
      </c>
      <c r="AC24" s="15" t="s">
        <v>41</v>
      </c>
      <c r="AD24" s="15" t="s">
        <v>41</v>
      </c>
      <c r="AE24" s="15" t="s">
        <v>41</v>
      </c>
      <c r="AF24" s="15" t="s">
        <v>41</v>
      </c>
      <c r="AG24" s="15" t="s">
        <v>41</v>
      </c>
      <c r="AH24" s="15" t="str">
        <f t="shared" si="12"/>
        <v>WO</v>
      </c>
      <c r="AI24" s="15" t="s">
        <v>41</v>
      </c>
      <c r="AJ24" s="15" t="s">
        <v>41</v>
      </c>
      <c r="AK24" s="15" t="s">
        <v>41</v>
      </c>
      <c r="AL24" s="15" t="s">
        <v>41</v>
      </c>
      <c r="AM24" s="16" t="s">
        <v>43</v>
      </c>
      <c r="AN24" s="41"/>
      <c r="AO24" s="41"/>
      <c r="AP24" s="30"/>
      <c r="AQ24" s="9">
        <v>18</v>
      </c>
      <c r="AR24" s="9" t="s">
        <v>20</v>
      </c>
      <c r="AS24" s="9" t="str">
        <f t="shared" si="5"/>
        <v>January</v>
      </c>
      <c r="AT24" s="10">
        <v>10018</v>
      </c>
      <c r="AU24" s="15">
        <f t="shared" si="6"/>
        <v>26</v>
      </c>
      <c r="AV24" s="15">
        <f t="shared" si="7"/>
        <v>0</v>
      </c>
      <c r="AW24" s="15">
        <f t="shared" si="8"/>
        <v>1</v>
      </c>
      <c r="AX24" s="15">
        <f t="shared" si="9"/>
        <v>4</v>
      </c>
      <c r="AY24" s="25">
        <f t="shared" si="10"/>
        <v>31</v>
      </c>
      <c r="AZ24" s="25">
        <f>JanReport[[#This Row],[Days]]-JanReport[[#This Row],[Abesent]]</f>
        <v>31</v>
      </c>
      <c r="BA24" s="26">
        <v>28000</v>
      </c>
      <c r="BB24" s="27">
        <f>JanReport[[#This Row],[Salary]]/JanReport[[#This Row],[Days]]</f>
        <v>903.22580645161293</v>
      </c>
      <c r="BC24" s="27">
        <f>JanReport[[#This Row],[PerDaySalary]]*JanReport[[#This Row],[Abesent]]</f>
        <v>0</v>
      </c>
      <c r="BD24" s="27">
        <f>JanReport[[#This Row],[Salary]]-JanReport[[#This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4</v>
      </c>
      <c r="I25" s="15" t="s">
        <v>41</v>
      </c>
      <c r="J25" s="15" t="s">
        <v>41</v>
      </c>
      <c r="K25" s="15" t="s">
        <v>41</v>
      </c>
      <c r="L25" s="15" t="s">
        <v>41</v>
      </c>
      <c r="M25" s="15" t="str">
        <f t="shared" si="11"/>
        <v>WO</v>
      </c>
      <c r="N25" s="15" t="s">
        <v>41</v>
      </c>
      <c r="O25" s="15" t="s">
        <v>41</v>
      </c>
      <c r="P25" s="15" t="s">
        <v>41</v>
      </c>
      <c r="Q25" s="15" t="s">
        <v>41</v>
      </c>
      <c r="R25" s="15" t="s">
        <v>41</v>
      </c>
      <c r="S25" s="15" t="s">
        <v>41</v>
      </c>
      <c r="T25" s="15" t="str">
        <f t="shared" si="11"/>
        <v>WO</v>
      </c>
      <c r="U25" s="15" t="s">
        <v>41</v>
      </c>
      <c r="V25" s="15" t="s">
        <v>41</v>
      </c>
      <c r="W25" s="15" t="s">
        <v>41</v>
      </c>
      <c r="X25" s="15" t="s">
        <v>41</v>
      </c>
      <c r="Y25" s="15" t="s">
        <v>41</v>
      </c>
      <c r="Z25" s="15" t="s">
        <v>41</v>
      </c>
      <c r="AA25" s="15" t="str">
        <f t="shared" si="12"/>
        <v>WO</v>
      </c>
      <c r="AB25" s="15" t="s">
        <v>41</v>
      </c>
      <c r="AC25" s="15" t="s">
        <v>41</v>
      </c>
      <c r="AD25" s="15" t="s">
        <v>41</v>
      </c>
      <c r="AE25" s="15" t="s">
        <v>41</v>
      </c>
      <c r="AF25" s="15" t="s">
        <v>41</v>
      </c>
      <c r="AG25" s="15" t="s">
        <v>41</v>
      </c>
      <c r="AH25" s="15" t="str">
        <f t="shared" si="12"/>
        <v>WO</v>
      </c>
      <c r="AI25" s="15" t="s">
        <v>41</v>
      </c>
      <c r="AJ25" s="15" t="s">
        <v>41</v>
      </c>
      <c r="AK25" s="15" t="s">
        <v>41</v>
      </c>
      <c r="AL25" s="15" t="s">
        <v>41</v>
      </c>
      <c r="AM25" s="16" t="s">
        <v>43</v>
      </c>
      <c r="AN25" s="41"/>
      <c r="AO25" s="41"/>
      <c r="AP25" s="30"/>
      <c r="AQ25" s="9">
        <v>19</v>
      </c>
      <c r="AR25" s="9" t="s">
        <v>21</v>
      </c>
      <c r="AS25" s="9" t="str">
        <f t="shared" si="5"/>
        <v>January</v>
      </c>
      <c r="AT25" s="10">
        <v>10019</v>
      </c>
      <c r="AU25" s="15">
        <f t="shared" si="6"/>
        <v>26</v>
      </c>
      <c r="AV25" s="15">
        <f t="shared" si="7"/>
        <v>0</v>
      </c>
      <c r="AW25" s="15">
        <f t="shared" si="8"/>
        <v>1</v>
      </c>
      <c r="AX25" s="15">
        <f t="shared" si="9"/>
        <v>4</v>
      </c>
      <c r="AY25" s="25">
        <f t="shared" si="10"/>
        <v>31</v>
      </c>
      <c r="AZ25" s="25">
        <f>JanReport[[#This Row],[Days]]-JanReport[[#This Row],[Abesent]]</f>
        <v>31</v>
      </c>
      <c r="BA25" s="26">
        <v>19000</v>
      </c>
      <c r="BB25" s="27">
        <f>JanReport[[#This Row],[Salary]]/JanReport[[#This Row],[Days]]</f>
        <v>612.90322580645159</v>
      </c>
      <c r="BC25" s="27">
        <f>JanReport[[#This Row],[PerDaySalary]]*JanReport[[#This Row],[Abesent]]</f>
        <v>0</v>
      </c>
      <c r="BD25" s="27">
        <f>JanReport[[#This Row],[Salary]]-JanReport[[#This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4</v>
      </c>
      <c r="I26" s="17" t="s">
        <v>41</v>
      </c>
      <c r="J26" s="17" t="s">
        <v>41</v>
      </c>
      <c r="K26" s="17" t="s">
        <v>41</v>
      </c>
      <c r="L26" s="17" t="s">
        <v>41</v>
      </c>
      <c r="M26" s="17" t="str">
        <f t="shared" si="11"/>
        <v>WO</v>
      </c>
      <c r="N26" s="17" t="s">
        <v>41</v>
      </c>
      <c r="O26" s="17" t="s">
        <v>41</v>
      </c>
      <c r="P26" s="17" t="s">
        <v>41</v>
      </c>
      <c r="Q26" s="15" t="s">
        <v>41</v>
      </c>
      <c r="R26" s="17" t="s">
        <v>41</v>
      </c>
      <c r="S26" s="17" t="s">
        <v>41</v>
      </c>
      <c r="T26" s="17" t="str">
        <f t="shared" si="11"/>
        <v>WO</v>
      </c>
      <c r="U26" s="17" t="s">
        <v>41</v>
      </c>
      <c r="V26" s="17" t="s">
        <v>41</v>
      </c>
      <c r="W26" s="17" t="s">
        <v>41</v>
      </c>
      <c r="X26" s="17" t="s">
        <v>41</v>
      </c>
      <c r="Y26" s="17" t="s">
        <v>41</v>
      </c>
      <c r="Z26" s="17" t="s">
        <v>41</v>
      </c>
      <c r="AA26" s="17" t="str">
        <f t="shared" si="12"/>
        <v>WO</v>
      </c>
      <c r="AB26" s="17" t="s">
        <v>41</v>
      </c>
      <c r="AC26" s="17" t="s">
        <v>41</v>
      </c>
      <c r="AD26" s="17" t="s">
        <v>41</v>
      </c>
      <c r="AE26" s="17" t="s">
        <v>41</v>
      </c>
      <c r="AF26" s="17" t="s">
        <v>41</v>
      </c>
      <c r="AG26" s="17" t="s">
        <v>41</v>
      </c>
      <c r="AH26" s="17" t="str">
        <f t="shared" si="12"/>
        <v>WO</v>
      </c>
      <c r="AI26" s="17" t="s">
        <v>41</v>
      </c>
      <c r="AJ26" s="17" t="s">
        <v>41</v>
      </c>
      <c r="AK26" s="17" t="s">
        <v>41</v>
      </c>
      <c r="AL26" s="17" t="s">
        <v>41</v>
      </c>
      <c r="AM26" s="18" t="s">
        <v>43</v>
      </c>
      <c r="AN26" s="41"/>
      <c r="AO26" s="41"/>
      <c r="AP26" s="30"/>
      <c r="AQ26" s="9">
        <v>20</v>
      </c>
      <c r="AR26" s="9" t="s">
        <v>22</v>
      </c>
      <c r="AS26" s="9" t="str">
        <f t="shared" si="5"/>
        <v>January</v>
      </c>
      <c r="AT26" s="10">
        <v>10020</v>
      </c>
      <c r="AU26" s="15">
        <f t="shared" si="6"/>
        <v>26</v>
      </c>
      <c r="AV26" s="15">
        <f t="shared" si="7"/>
        <v>0</v>
      </c>
      <c r="AW26" s="15">
        <f t="shared" si="8"/>
        <v>1</v>
      </c>
      <c r="AX26" s="15">
        <f t="shared" si="9"/>
        <v>4</v>
      </c>
      <c r="AY26" s="25">
        <f t="shared" si="10"/>
        <v>31</v>
      </c>
      <c r="AZ26" s="25">
        <f>JanReport[[#This Row],[Days]]-JanReport[[#This Row],[Abesent]]</f>
        <v>31</v>
      </c>
      <c r="BA26" s="26">
        <v>20000</v>
      </c>
      <c r="BB26" s="27">
        <f>JanReport[[#This Row],[Salary]]/JanReport[[#This Row],[Days]]</f>
        <v>645.16129032258061</v>
      </c>
      <c r="BC26" s="27">
        <f>JanReport[[#This Row],[PerDaySalary]]*JanReport[[#This Row],[Abesent]]</f>
        <v>0</v>
      </c>
      <c r="BD26" s="27">
        <f>JanReport[[#This Row],[Salary]]-JanReport[[#This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J4:M4"/>
    <mergeCell ref="E5:G5"/>
    <mergeCell ref="AQ1:BE2"/>
  </mergeCells>
  <phoneticPr fontId="7" type="noConversion"/>
  <conditionalFormatting sqref="I7:AM26">
    <cfRule type="containsText" dxfId="47" priority="1" operator="containsText" text="L">
      <formula>NOT(ISERROR(SEARCH("L",I7)))</formula>
    </cfRule>
    <cfRule type="containsText" dxfId="46" priority="2" operator="containsText" text="A">
      <formula>NOT(ISERROR(SEARCH("A",I7)))</formula>
    </cfRule>
    <cfRule type="containsText" dxfId="45" priority="3" operator="containsText" text="P">
      <formula>NOT(ISERROR(SEARCH("P",I7)))</formula>
    </cfRule>
    <cfRule type="containsText" dxfId="44" priority="4" operator="containsText" text="WO">
      <formula>NOT(ISERROR(SEARCH("WO",I7)))</formula>
    </cfRule>
  </conditionalFormatting>
  <dataValidations count="1">
    <dataValidation type="list" allowBlank="1" showInputMessage="1" showErrorMessage="1" sqref="AB7:AG26 AI7:AM26 U7:Z26 I7:L26 N7:S26" xr:uid="{E537A061-94B1-407A-954F-7148D93024C7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9422DD-0276-4148-B9E7-69917C32B9CE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4E123EC-6AB6-453C-A1AF-762CFA94A6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Jan!AU7:AW7</xm:f>
              <xm:sqref>BE7</xm:sqref>
            </x14:sparkline>
            <x14:sparkline>
              <xm:f>Jan!AU8:AW8</xm:f>
              <xm:sqref>BE8</xm:sqref>
            </x14:sparkline>
            <x14:sparkline>
              <xm:f>Jan!AU9:AW9</xm:f>
              <xm:sqref>BE9</xm:sqref>
            </x14:sparkline>
            <x14:sparkline>
              <xm:f>Jan!AU10:AW10</xm:f>
              <xm:sqref>BE10</xm:sqref>
            </x14:sparkline>
            <x14:sparkline>
              <xm:f>Jan!AU11:AW11</xm:f>
              <xm:sqref>BE11</xm:sqref>
            </x14:sparkline>
            <x14:sparkline>
              <xm:f>Jan!AU12:AW12</xm:f>
              <xm:sqref>BE12</xm:sqref>
            </x14:sparkline>
            <x14:sparkline>
              <xm:f>Jan!AU13:AW13</xm:f>
              <xm:sqref>BE13</xm:sqref>
            </x14:sparkline>
            <x14:sparkline>
              <xm:f>Jan!AU14:AW14</xm:f>
              <xm:sqref>BE14</xm:sqref>
            </x14:sparkline>
            <x14:sparkline>
              <xm:f>Jan!AU15:AW15</xm:f>
              <xm:sqref>BE15</xm:sqref>
            </x14:sparkline>
            <x14:sparkline>
              <xm:f>Jan!AU16:AW16</xm:f>
              <xm:sqref>BE16</xm:sqref>
            </x14:sparkline>
            <x14:sparkline>
              <xm:f>Jan!AU17:AW17</xm:f>
              <xm:sqref>BE17</xm:sqref>
            </x14:sparkline>
            <x14:sparkline>
              <xm:f>Jan!AU18:AW18</xm:f>
              <xm:sqref>BE18</xm:sqref>
            </x14:sparkline>
            <x14:sparkline>
              <xm:f>Jan!AU19:AW19</xm:f>
              <xm:sqref>BE19</xm:sqref>
            </x14:sparkline>
            <x14:sparkline>
              <xm:f>Jan!AU20:AW20</xm:f>
              <xm:sqref>BE20</xm:sqref>
            </x14:sparkline>
            <x14:sparkline>
              <xm:f>Jan!AU21:AW21</xm:f>
              <xm:sqref>BE21</xm:sqref>
            </x14:sparkline>
            <x14:sparkline>
              <xm:f>Jan!AU22:AW22</xm:f>
              <xm:sqref>BE22</xm:sqref>
            </x14:sparkline>
            <x14:sparkline>
              <xm:f>Jan!AU23:AW23</xm:f>
              <xm:sqref>BE23</xm:sqref>
            </x14:sparkline>
            <x14:sparkline>
              <xm:f>Jan!AU24:AW24</xm:f>
              <xm:sqref>BE24</xm:sqref>
            </x14:sparkline>
            <x14:sparkline>
              <xm:f>Jan!AU25:AW25</xm:f>
              <xm:sqref>BE25</xm:sqref>
            </x14:sparkline>
            <x14:sparkline>
              <xm:f>Jan!AU26:AW26</xm:f>
              <xm:sqref>BE26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CA3A-B6B0-4F7A-9F00-3624080D6F13}">
  <dimension ref="A1:BI32"/>
  <sheetViews>
    <sheetView zoomScaleNormal="100" workbookViewId="0"/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45689</v>
      </c>
      <c r="G4" s="42" t="str">
        <f>TEXT(F4,"MMMM")</f>
        <v>February</v>
      </c>
      <c r="H4" s="44">
        <f>(DATEDIF(F4,J4,"D"))+1</f>
        <v>28</v>
      </c>
      <c r="I4" s="42" t="s">
        <v>26</v>
      </c>
      <c r="J4" s="47">
        <f>EOMONTH(F4,0)</f>
        <v>45716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Sat</v>
      </c>
      <c r="J5" s="13" t="str">
        <f t="shared" ref="J5:AM5" si="0">TEXT(J6,"ddd")</f>
        <v>Sun</v>
      </c>
      <c r="K5" s="13" t="str">
        <f t="shared" si="0"/>
        <v>Mon</v>
      </c>
      <c r="L5" s="13" t="str">
        <f t="shared" si="0"/>
        <v>Tue</v>
      </c>
      <c r="M5" s="13" t="str">
        <f t="shared" si="0"/>
        <v>Wed</v>
      </c>
      <c r="N5" s="13" t="str">
        <f t="shared" si="0"/>
        <v>Thu</v>
      </c>
      <c r="O5" s="13" t="str">
        <f t="shared" si="0"/>
        <v>Fri</v>
      </c>
      <c r="P5" s="13" t="str">
        <f t="shared" si="0"/>
        <v>Sat</v>
      </c>
      <c r="Q5" s="13" t="str">
        <f t="shared" si="0"/>
        <v>Sun</v>
      </c>
      <c r="R5" s="13" t="str">
        <f t="shared" si="0"/>
        <v>Mon</v>
      </c>
      <c r="S5" s="13" t="str">
        <f t="shared" si="0"/>
        <v>Tue</v>
      </c>
      <c r="T5" s="13" t="str">
        <f t="shared" si="0"/>
        <v>Wed</v>
      </c>
      <c r="U5" s="13" t="str">
        <f t="shared" si="0"/>
        <v>Thu</v>
      </c>
      <c r="V5" s="13" t="str">
        <f t="shared" si="0"/>
        <v>Fri</v>
      </c>
      <c r="W5" s="13" t="str">
        <f t="shared" si="0"/>
        <v>Sat</v>
      </c>
      <c r="X5" s="13" t="str">
        <f t="shared" si="0"/>
        <v>Sun</v>
      </c>
      <c r="Y5" s="13" t="str">
        <f t="shared" si="0"/>
        <v>Mon</v>
      </c>
      <c r="Z5" s="13" t="str">
        <f t="shared" si="0"/>
        <v>Tue</v>
      </c>
      <c r="AA5" s="13" t="str">
        <f t="shared" si="0"/>
        <v>Wed</v>
      </c>
      <c r="AB5" s="13" t="str">
        <f t="shared" si="0"/>
        <v>Thu</v>
      </c>
      <c r="AC5" s="13" t="str">
        <f t="shared" si="0"/>
        <v>Fri</v>
      </c>
      <c r="AD5" s="13" t="str">
        <f t="shared" si="0"/>
        <v>Sat</v>
      </c>
      <c r="AE5" s="13" t="str">
        <f t="shared" si="0"/>
        <v>Sun</v>
      </c>
      <c r="AF5" s="13" t="str">
        <f t="shared" si="0"/>
        <v>Mon</v>
      </c>
      <c r="AG5" s="13" t="str">
        <f t="shared" si="0"/>
        <v>Tue</v>
      </c>
      <c r="AH5" s="13" t="str">
        <f t="shared" si="0"/>
        <v>Wed</v>
      </c>
      <c r="AI5" s="13" t="str">
        <f t="shared" si="0"/>
        <v>Thu</v>
      </c>
      <c r="AJ5" s="13" t="str">
        <f t="shared" si="0"/>
        <v>Fri</v>
      </c>
      <c r="AK5" s="13" t="str">
        <f t="shared" si="0"/>
        <v/>
      </c>
      <c r="AL5" s="13" t="str">
        <f t="shared" si="0"/>
        <v/>
      </c>
      <c r="AM5" s="14" t="str">
        <f t="shared" si="0"/>
        <v/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45689</v>
      </c>
      <c r="J6" s="34">
        <f>IF(I6&lt;$J$4,I6+1,"")</f>
        <v>45690</v>
      </c>
      <c r="K6" s="34">
        <f t="shared" ref="K6:AM6" si="1">IF(J6&lt;$J$4,J6+1,"")</f>
        <v>45691</v>
      </c>
      <c r="L6" s="34">
        <f t="shared" si="1"/>
        <v>45692</v>
      </c>
      <c r="M6" s="34">
        <f t="shared" si="1"/>
        <v>45693</v>
      </c>
      <c r="N6" s="34">
        <f t="shared" si="1"/>
        <v>45694</v>
      </c>
      <c r="O6" s="34">
        <f t="shared" si="1"/>
        <v>45695</v>
      </c>
      <c r="P6" s="34">
        <f t="shared" si="1"/>
        <v>45696</v>
      </c>
      <c r="Q6" s="34">
        <f t="shared" si="1"/>
        <v>45697</v>
      </c>
      <c r="R6" s="34">
        <f t="shared" si="1"/>
        <v>45698</v>
      </c>
      <c r="S6" s="34">
        <f t="shared" si="1"/>
        <v>45699</v>
      </c>
      <c r="T6" s="34">
        <f t="shared" si="1"/>
        <v>45700</v>
      </c>
      <c r="U6" s="34">
        <f t="shared" si="1"/>
        <v>45701</v>
      </c>
      <c r="V6" s="34">
        <f t="shared" si="1"/>
        <v>45702</v>
      </c>
      <c r="W6" s="34">
        <f t="shared" si="1"/>
        <v>45703</v>
      </c>
      <c r="X6" s="34">
        <f t="shared" si="1"/>
        <v>45704</v>
      </c>
      <c r="Y6" s="34">
        <f t="shared" si="1"/>
        <v>45705</v>
      </c>
      <c r="Z6" s="34">
        <f t="shared" si="1"/>
        <v>45706</v>
      </c>
      <c r="AA6" s="34">
        <f t="shared" si="1"/>
        <v>45707</v>
      </c>
      <c r="AB6" s="34">
        <f t="shared" si="1"/>
        <v>45708</v>
      </c>
      <c r="AC6" s="34">
        <f t="shared" si="1"/>
        <v>45709</v>
      </c>
      <c r="AD6" s="34">
        <f t="shared" si="1"/>
        <v>45710</v>
      </c>
      <c r="AE6" s="34">
        <f t="shared" si="1"/>
        <v>45711</v>
      </c>
      <c r="AF6" s="34">
        <f t="shared" si="1"/>
        <v>45712</v>
      </c>
      <c r="AG6" s="34">
        <f t="shared" si="1"/>
        <v>45713</v>
      </c>
      <c r="AH6" s="34">
        <f t="shared" si="1"/>
        <v>45714</v>
      </c>
      <c r="AI6" s="34">
        <f t="shared" si="1"/>
        <v>45715</v>
      </c>
      <c r="AJ6" s="34">
        <f t="shared" si="1"/>
        <v>45716</v>
      </c>
      <c r="AK6" s="34" t="str">
        <f t="shared" si="1"/>
        <v/>
      </c>
      <c r="AL6" s="34" t="str">
        <f t="shared" si="1"/>
        <v/>
      </c>
      <c r="AM6" s="36" t="str">
        <f t="shared" si="1"/>
        <v/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4</v>
      </c>
      <c r="I7" s="15" t="s">
        <v>41</v>
      </c>
      <c r="J7" s="15" t="str">
        <f t="shared" ref="J7:X22" si="3">IF(J$5="Sun","WO","")</f>
        <v>WO</v>
      </c>
      <c r="K7" s="15" t="s">
        <v>41</v>
      </c>
      <c r="L7" s="15" t="s">
        <v>41</v>
      </c>
      <c r="M7" s="15" t="s">
        <v>41</v>
      </c>
      <c r="N7" s="15" t="s">
        <v>43</v>
      </c>
      <c r="O7" s="15" t="s">
        <v>41</v>
      </c>
      <c r="P7" s="15" t="s">
        <v>41</v>
      </c>
      <c r="Q7" s="15" t="str">
        <f t="shared" si="3"/>
        <v>WO</v>
      </c>
      <c r="R7" s="15" t="s">
        <v>41</v>
      </c>
      <c r="S7" s="15" t="s">
        <v>41</v>
      </c>
      <c r="T7" s="15" t="s">
        <v>41</v>
      </c>
      <c r="U7" s="15" t="s">
        <v>41</v>
      </c>
      <c r="V7" s="15" t="s">
        <v>41</v>
      </c>
      <c r="W7" s="15" t="s">
        <v>41</v>
      </c>
      <c r="X7" s="15" t="str">
        <f t="shared" si="3"/>
        <v>WO</v>
      </c>
      <c r="Y7" s="15" t="s">
        <v>41</v>
      </c>
      <c r="Z7" s="15" t="s">
        <v>41</v>
      </c>
      <c r="AA7" s="15" t="s">
        <v>41</v>
      </c>
      <c r="AB7" s="15" t="s">
        <v>41</v>
      </c>
      <c r="AC7" s="15" t="s">
        <v>41</v>
      </c>
      <c r="AD7" s="15" t="s">
        <v>41</v>
      </c>
      <c r="AE7" s="15" t="str">
        <f t="shared" ref="AE7:AE22" si="4">IF(AE$5="Sun","WO","")</f>
        <v>WO</v>
      </c>
      <c r="AF7" s="45" t="s">
        <v>43</v>
      </c>
      <c r="AG7" s="15" t="s">
        <v>41</v>
      </c>
      <c r="AH7" s="15" t="s">
        <v>41</v>
      </c>
      <c r="AI7" s="15" t="s">
        <v>41</v>
      </c>
      <c r="AJ7" s="15" t="s">
        <v>43</v>
      </c>
      <c r="AK7" s="15"/>
      <c r="AL7" s="15"/>
      <c r="AM7" s="16"/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February</v>
      </c>
      <c r="AT7" s="7">
        <v>10001</v>
      </c>
      <c r="AU7" s="21">
        <f t="shared" ref="AU7:AU26" si="6">COUNTIF($I7:$AM7,"P")</f>
        <v>21</v>
      </c>
      <c r="AV7" s="21">
        <f t="shared" ref="AV7:AV26" si="7">COUNTIF($I7:$AM7,"A")</f>
        <v>0</v>
      </c>
      <c r="AW7" s="21">
        <f t="shared" ref="AW7:AW26" si="8">COUNTIF($I7:$AM7,"L")</f>
        <v>3</v>
      </c>
      <c r="AX7" s="21">
        <f t="shared" ref="AX7:AX26" si="9">$H$7</f>
        <v>4</v>
      </c>
      <c r="AY7" s="22">
        <f t="shared" ref="AY7:AY26" si="10">$H$4</f>
        <v>28</v>
      </c>
      <c r="AZ7" s="22">
        <f>JanReport14[[#This Row],[Days]]-JanReport14[[#This Row],[Abesent]]</f>
        <v>28</v>
      </c>
      <c r="BA7" s="23">
        <v>10000</v>
      </c>
      <c r="BB7" s="24">
        <f>JanReport14[[#This Row],[Salary]]/JanReport14[[#This Row],[Days]]</f>
        <v>357.14285714285717</v>
      </c>
      <c r="BC7" s="24">
        <f>JanReport14[[#This Row],[PerDaySalary]]*JanReport14[[#This Row],[Abesent]]</f>
        <v>0</v>
      </c>
      <c r="BD7" s="24">
        <f>JanReport14[[#This Row],[Salary]]-JanReport14[[#This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4</v>
      </c>
      <c r="I8" s="15" t="s">
        <v>41</v>
      </c>
      <c r="J8" s="15" t="str">
        <f t="shared" si="3"/>
        <v>WO</v>
      </c>
      <c r="K8" s="15" t="s">
        <v>41</v>
      </c>
      <c r="L8" s="15" t="s">
        <v>41</v>
      </c>
      <c r="M8" s="15" t="s">
        <v>41</v>
      </c>
      <c r="N8" s="15" t="s">
        <v>43</v>
      </c>
      <c r="O8" s="15" t="s">
        <v>41</v>
      </c>
      <c r="P8" s="15" t="s">
        <v>41</v>
      </c>
      <c r="Q8" s="15" t="str">
        <f t="shared" si="3"/>
        <v>WO</v>
      </c>
      <c r="R8" s="15" t="s">
        <v>41</v>
      </c>
      <c r="S8" s="15" t="s">
        <v>41</v>
      </c>
      <c r="T8" s="15" t="s">
        <v>41</v>
      </c>
      <c r="U8" s="15" t="s">
        <v>41</v>
      </c>
      <c r="V8" s="15" t="s">
        <v>41</v>
      </c>
      <c r="W8" s="15" t="s">
        <v>41</v>
      </c>
      <c r="X8" s="15" t="str">
        <f t="shared" si="3"/>
        <v>WO</v>
      </c>
      <c r="Y8" s="15" t="s">
        <v>41</v>
      </c>
      <c r="Z8" s="15" t="s">
        <v>41</v>
      </c>
      <c r="AA8" s="15" t="s">
        <v>41</v>
      </c>
      <c r="AB8" s="15" t="s">
        <v>41</v>
      </c>
      <c r="AC8" s="15" t="s">
        <v>41</v>
      </c>
      <c r="AD8" s="15" t="s">
        <v>41</v>
      </c>
      <c r="AE8" s="15" t="str">
        <f t="shared" si="4"/>
        <v>WO</v>
      </c>
      <c r="AF8" s="45" t="s">
        <v>43</v>
      </c>
      <c r="AG8" s="15" t="s">
        <v>41</v>
      </c>
      <c r="AH8" s="15" t="s">
        <v>41</v>
      </c>
      <c r="AI8" s="15" t="s">
        <v>41</v>
      </c>
      <c r="AJ8" s="15" t="s">
        <v>43</v>
      </c>
      <c r="AK8" s="15"/>
      <c r="AL8" s="15"/>
      <c r="AM8" s="16"/>
      <c r="AN8" s="41"/>
      <c r="AO8" s="41"/>
      <c r="AP8" s="31"/>
      <c r="AQ8" s="9">
        <v>2</v>
      </c>
      <c r="AR8" s="9" t="s">
        <v>4</v>
      </c>
      <c r="AS8" s="9" t="str">
        <f t="shared" si="5"/>
        <v>February</v>
      </c>
      <c r="AT8" s="10">
        <v>10002</v>
      </c>
      <c r="AU8" s="15">
        <f t="shared" si="6"/>
        <v>21</v>
      </c>
      <c r="AV8" s="15">
        <f t="shared" si="7"/>
        <v>0</v>
      </c>
      <c r="AW8" s="15">
        <f t="shared" si="8"/>
        <v>3</v>
      </c>
      <c r="AX8" s="15">
        <f t="shared" si="9"/>
        <v>4</v>
      </c>
      <c r="AY8" s="25">
        <f t="shared" si="10"/>
        <v>28</v>
      </c>
      <c r="AZ8" s="25">
        <f>JanReport14[[#This Row],[Days]]-JanReport14[[#This Row],[Abesent]]</f>
        <v>28</v>
      </c>
      <c r="BA8" s="26">
        <v>15000</v>
      </c>
      <c r="BB8" s="27">
        <f>JanReport14[[#This Row],[Salary]]/JanReport14[[#This Row],[Days]]</f>
        <v>535.71428571428567</v>
      </c>
      <c r="BC8" s="27">
        <f>JanReport14[[#This Row],[PerDaySalary]]*JanReport14[[#This Row],[Abesent]]</f>
        <v>0</v>
      </c>
      <c r="BD8" s="27">
        <f>JanReport14[[#This Row],[Salary]]-JanReport14[[#This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4</v>
      </c>
      <c r="I9" s="15" t="s">
        <v>41</v>
      </c>
      <c r="J9" s="15" t="str">
        <f t="shared" si="3"/>
        <v>WO</v>
      </c>
      <c r="K9" s="15" t="s">
        <v>41</v>
      </c>
      <c r="L9" s="15" t="s">
        <v>41</v>
      </c>
      <c r="M9" s="15" t="s">
        <v>41</v>
      </c>
      <c r="N9" s="15" t="s">
        <v>43</v>
      </c>
      <c r="O9" s="15" t="s">
        <v>41</v>
      </c>
      <c r="P9" s="15" t="s">
        <v>41</v>
      </c>
      <c r="Q9" s="15" t="str">
        <f t="shared" si="3"/>
        <v>WO</v>
      </c>
      <c r="R9" s="15" t="s">
        <v>41</v>
      </c>
      <c r="S9" s="15" t="s">
        <v>41</v>
      </c>
      <c r="T9" s="15" t="s">
        <v>41</v>
      </c>
      <c r="U9" s="15" t="s">
        <v>41</v>
      </c>
      <c r="V9" s="15" t="s">
        <v>41</v>
      </c>
      <c r="W9" s="15" t="s">
        <v>41</v>
      </c>
      <c r="X9" s="15" t="str">
        <f t="shared" si="3"/>
        <v>WO</v>
      </c>
      <c r="Y9" s="15" t="s">
        <v>41</v>
      </c>
      <c r="Z9" s="15" t="s">
        <v>41</v>
      </c>
      <c r="AA9" s="15" t="s">
        <v>41</v>
      </c>
      <c r="AB9" s="15" t="s">
        <v>41</v>
      </c>
      <c r="AC9" s="15" t="s">
        <v>41</v>
      </c>
      <c r="AD9" s="15" t="s">
        <v>41</v>
      </c>
      <c r="AE9" s="15" t="str">
        <f t="shared" si="4"/>
        <v>WO</v>
      </c>
      <c r="AF9" s="45" t="s">
        <v>43</v>
      </c>
      <c r="AG9" s="15" t="s">
        <v>41</v>
      </c>
      <c r="AH9" s="15" t="s">
        <v>41</v>
      </c>
      <c r="AI9" s="15" t="s">
        <v>41</v>
      </c>
      <c r="AJ9" s="15" t="s">
        <v>43</v>
      </c>
      <c r="AK9" s="15"/>
      <c r="AL9" s="15"/>
      <c r="AM9" s="16"/>
      <c r="AN9" s="41"/>
      <c r="AO9" s="41"/>
      <c r="AP9" s="30"/>
      <c r="AQ9" s="9">
        <v>3</v>
      </c>
      <c r="AR9" s="9" t="s">
        <v>5</v>
      </c>
      <c r="AS9" s="9" t="str">
        <f t="shared" si="5"/>
        <v>February</v>
      </c>
      <c r="AT9" s="10">
        <v>10003</v>
      </c>
      <c r="AU9" s="15">
        <f t="shared" si="6"/>
        <v>21</v>
      </c>
      <c r="AV9" s="15">
        <f t="shared" si="7"/>
        <v>0</v>
      </c>
      <c r="AW9" s="15">
        <f t="shared" si="8"/>
        <v>3</v>
      </c>
      <c r="AX9" s="15">
        <f t="shared" si="9"/>
        <v>4</v>
      </c>
      <c r="AY9" s="25">
        <f t="shared" si="10"/>
        <v>28</v>
      </c>
      <c r="AZ9" s="25">
        <f>JanReport14[[#This Row],[Days]]-JanReport14[[#This Row],[Abesent]]</f>
        <v>28</v>
      </c>
      <c r="BA9" s="26">
        <v>20000</v>
      </c>
      <c r="BB9" s="27">
        <f>JanReport14[[#This Row],[Salary]]/JanReport14[[#This Row],[Days]]</f>
        <v>714.28571428571433</v>
      </c>
      <c r="BC9" s="27">
        <f>JanReport14[[#This Row],[PerDaySalary]]*JanReport14[[#This Row],[Abesent]]</f>
        <v>0</v>
      </c>
      <c r="BD9" s="27">
        <f>JanReport14[[#This Row],[Salary]]-JanReport14[[#This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4</v>
      </c>
      <c r="I10" s="15" t="s">
        <v>41</v>
      </c>
      <c r="J10" s="15" t="str">
        <f t="shared" si="3"/>
        <v>WO</v>
      </c>
      <c r="K10" s="15" t="s">
        <v>41</v>
      </c>
      <c r="L10" s="15" t="s">
        <v>41</v>
      </c>
      <c r="M10" s="15" t="s">
        <v>41</v>
      </c>
      <c r="N10" s="15" t="s">
        <v>43</v>
      </c>
      <c r="O10" s="15" t="s">
        <v>41</v>
      </c>
      <c r="P10" s="15" t="s">
        <v>41</v>
      </c>
      <c r="Q10" s="15" t="str">
        <f t="shared" si="3"/>
        <v>WO</v>
      </c>
      <c r="R10" s="15" t="s">
        <v>41</v>
      </c>
      <c r="S10" s="15" t="s">
        <v>41</v>
      </c>
      <c r="T10" s="15" t="s">
        <v>41</v>
      </c>
      <c r="U10" s="45" t="s">
        <v>43</v>
      </c>
      <c r="V10" s="15" t="s">
        <v>41</v>
      </c>
      <c r="W10" s="15" t="s">
        <v>41</v>
      </c>
      <c r="X10" s="15" t="str">
        <f t="shared" si="3"/>
        <v>WO</v>
      </c>
      <c r="Y10" s="15" t="s">
        <v>41</v>
      </c>
      <c r="Z10" s="15" t="s">
        <v>41</v>
      </c>
      <c r="AA10" s="15" t="s">
        <v>41</v>
      </c>
      <c r="AB10" s="45" t="s">
        <v>43</v>
      </c>
      <c r="AC10" s="15" t="s">
        <v>41</v>
      </c>
      <c r="AD10" s="15" t="s">
        <v>41</v>
      </c>
      <c r="AE10" s="15" t="str">
        <f t="shared" si="4"/>
        <v>WO</v>
      </c>
      <c r="AF10" s="45" t="s">
        <v>43</v>
      </c>
      <c r="AG10" s="15" t="s">
        <v>41</v>
      </c>
      <c r="AH10" s="15" t="s">
        <v>41</v>
      </c>
      <c r="AI10" s="45" t="s">
        <v>43</v>
      </c>
      <c r="AJ10" s="15" t="s">
        <v>43</v>
      </c>
      <c r="AK10" s="15"/>
      <c r="AL10" s="15"/>
      <c r="AM10" s="16"/>
      <c r="AN10" s="41"/>
      <c r="AO10" s="41"/>
      <c r="AP10" s="30"/>
      <c r="AQ10" s="9">
        <v>4</v>
      </c>
      <c r="AR10" s="9" t="s">
        <v>6</v>
      </c>
      <c r="AS10" s="9" t="str">
        <f t="shared" si="5"/>
        <v>February</v>
      </c>
      <c r="AT10" s="10">
        <v>10004</v>
      </c>
      <c r="AU10" s="15">
        <f t="shared" si="6"/>
        <v>18</v>
      </c>
      <c r="AV10" s="15">
        <f t="shared" si="7"/>
        <v>0</v>
      </c>
      <c r="AW10" s="15">
        <f t="shared" si="8"/>
        <v>6</v>
      </c>
      <c r="AX10" s="15">
        <f t="shared" si="9"/>
        <v>4</v>
      </c>
      <c r="AY10" s="25">
        <f t="shared" si="10"/>
        <v>28</v>
      </c>
      <c r="AZ10" s="25">
        <f>JanReport14[[#This Row],[Days]]-JanReport14[[#This Row],[Abesent]]</f>
        <v>28</v>
      </c>
      <c r="BA10" s="26">
        <v>21000</v>
      </c>
      <c r="BB10" s="27">
        <f>JanReport14[[#This Row],[Salary]]/JanReport14[[#This Row],[Days]]</f>
        <v>750</v>
      </c>
      <c r="BC10" s="27">
        <f>JanReport14[[#This Row],[PerDaySalary]]*JanReport14[[#This Row],[Abesent]]</f>
        <v>0</v>
      </c>
      <c r="BD10" s="27">
        <f>JanReport14[[#This Row],[Salary]]-JanReport14[[#This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4</v>
      </c>
      <c r="I11" s="15" t="s">
        <v>41</v>
      </c>
      <c r="J11" s="15" t="str">
        <f t="shared" si="3"/>
        <v>WO</v>
      </c>
      <c r="K11" s="15" t="s">
        <v>41</v>
      </c>
      <c r="L11" s="15" t="s">
        <v>41</v>
      </c>
      <c r="M11" s="15" t="s">
        <v>41</v>
      </c>
      <c r="N11" s="15" t="s">
        <v>43</v>
      </c>
      <c r="O11" s="15" t="s">
        <v>41</v>
      </c>
      <c r="P11" s="15" t="s">
        <v>41</v>
      </c>
      <c r="Q11" s="15" t="str">
        <f t="shared" si="3"/>
        <v>WO</v>
      </c>
      <c r="R11" s="15" t="s">
        <v>41</v>
      </c>
      <c r="S11" s="15" t="s">
        <v>41</v>
      </c>
      <c r="T11" s="15" t="s">
        <v>41</v>
      </c>
      <c r="U11" s="15" t="s">
        <v>41</v>
      </c>
      <c r="V11" s="15" t="s">
        <v>41</v>
      </c>
      <c r="W11" s="15" t="s">
        <v>41</v>
      </c>
      <c r="X11" s="15" t="str">
        <f t="shared" si="3"/>
        <v>WO</v>
      </c>
      <c r="Y11" s="15" t="s">
        <v>41</v>
      </c>
      <c r="Z11" s="15" t="s">
        <v>41</v>
      </c>
      <c r="AA11" s="15" t="s">
        <v>41</v>
      </c>
      <c r="AB11" s="15" t="s">
        <v>41</v>
      </c>
      <c r="AC11" s="15" t="s">
        <v>41</v>
      </c>
      <c r="AD11" s="15" t="s">
        <v>41</v>
      </c>
      <c r="AE11" s="15" t="str">
        <f t="shared" si="4"/>
        <v>WO</v>
      </c>
      <c r="AF11" s="45" t="s">
        <v>43</v>
      </c>
      <c r="AG11" s="15" t="s">
        <v>41</v>
      </c>
      <c r="AH11" s="15" t="s">
        <v>41</v>
      </c>
      <c r="AI11" s="15" t="s">
        <v>41</v>
      </c>
      <c r="AJ11" s="15" t="s">
        <v>43</v>
      </c>
      <c r="AK11" s="15"/>
      <c r="AL11" s="15"/>
      <c r="AM11" s="16"/>
      <c r="AN11" s="41"/>
      <c r="AO11" s="41"/>
      <c r="AP11" s="30"/>
      <c r="AQ11" s="9">
        <v>5</v>
      </c>
      <c r="AR11" s="9" t="s">
        <v>7</v>
      </c>
      <c r="AS11" s="9" t="str">
        <f t="shared" si="5"/>
        <v>February</v>
      </c>
      <c r="AT11" s="10">
        <v>10005</v>
      </c>
      <c r="AU11" s="15">
        <f t="shared" si="6"/>
        <v>21</v>
      </c>
      <c r="AV11" s="15">
        <f t="shared" si="7"/>
        <v>0</v>
      </c>
      <c r="AW11" s="15">
        <f t="shared" si="8"/>
        <v>3</v>
      </c>
      <c r="AX11" s="15">
        <f t="shared" si="9"/>
        <v>4</v>
      </c>
      <c r="AY11" s="25">
        <f t="shared" si="10"/>
        <v>28</v>
      </c>
      <c r="AZ11" s="25">
        <f>JanReport14[[#This Row],[Days]]-JanReport14[[#This Row],[Abesent]]</f>
        <v>28</v>
      </c>
      <c r="BA11" s="26">
        <v>18000</v>
      </c>
      <c r="BB11" s="27">
        <f>JanReport14[[#This Row],[Salary]]/JanReport14[[#This Row],[Days]]</f>
        <v>642.85714285714289</v>
      </c>
      <c r="BC11" s="27">
        <f>JanReport14[[#This Row],[PerDaySalary]]*JanReport14[[#This Row],[Abesent]]</f>
        <v>0</v>
      </c>
      <c r="BD11" s="27">
        <f>JanReport14[[#This Row],[Salary]]-JanReport14[[#This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4</v>
      </c>
      <c r="I12" s="15" t="s">
        <v>41</v>
      </c>
      <c r="J12" s="15" t="str">
        <f t="shared" si="3"/>
        <v>WO</v>
      </c>
      <c r="K12" s="15" t="s">
        <v>41</v>
      </c>
      <c r="L12" s="15" t="s">
        <v>41</v>
      </c>
      <c r="M12" s="15" t="s">
        <v>41</v>
      </c>
      <c r="N12" s="15" t="s">
        <v>43</v>
      </c>
      <c r="O12" s="15" t="s">
        <v>41</v>
      </c>
      <c r="P12" s="15" t="s">
        <v>41</v>
      </c>
      <c r="Q12" s="15" t="str">
        <f t="shared" si="3"/>
        <v>WO</v>
      </c>
      <c r="R12" s="15" t="s">
        <v>41</v>
      </c>
      <c r="S12" s="15" t="s">
        <v>41</v>
      </c>
      <c r="T12" s="15" t="s">
        <v>41</v>
      </c>
      <c r="U12" s="15" t="s">
        <v>41</v>
      </c>
      <c r="V12" s="15" t="s">
        <v>41</v>
      </c>
      <c r="W12" s="15" t="s">
        <v>41</v>
      </c>
      <c r="X12" s="15" t="str">
        <f t="shared" si="3"/>
        <v>WO</v>
      </c>
      <c r="Y12" s="15" t="s">
        <v>41</v>
      </c>
      <c r="Z12" s="15" t="s">
        <v>41</v>
      </c>
      <c r="AA12" s="15" t="s">
        <v>41</v>
      </c>
      <c r="AB12" s="15" t="s">
        <v>41</v>
      </c>
      <c r="AC12" s="15" t="s">
        <v>41</v>
      </c>
      <c r="AD12" s="15" t="s">
        <v>41</v>
      </c>
      <c r="AE12" s="15" t="str">
        <f t="shared" si="4"/>
        <v>WO</v>
      </c>
      <c r="AF12" s="45" t="s">
        <v>43</v>
      </c>
      <c r="AG12" s="15" t="s">
        <v>41</v>
      </c>
      <c r="AH12" s="15" t="s">
        <v>41</v>
      </c>
      <c r="AI12" s="15" t="s">
        <v>41</v>
      </c>
      <c r="AJ12" s="15" t="s">
        <v>43</v>
      </c>
      <c r="AK12" s="15"/>
      <c r="AL12" s="15"/>
      <c r="AM12" s="16"/>
      <c r="AN12" s="41"/>
      <c r="AO12" s="41"/>
      <c r="AP12" s="30"/>
      <c r="AQ12" s="9">
        <v>6</v>
      </c>
      <c r="AR12" s="9" t="s">
        <v>8</v>
      </c>
      <c r="AS12" s="9" t="str">
        <f t="shared" si="5"/>
        <v>February</v>
      </c>
      <c r="AT12" s="10">
        <v>10006</v>
      </c>
      <c r="AU12" s="15">
        <f t="shared" si="6"/>
        <v>21</v>
      </c>
      <c r="AV12" s="15">
        <f t="shared" si="7"/>
        <v>0</v>
      </c>
      <c r="AW12" s="15">
        <f t="shared" si="8"/>
        <v>3</v>
      </c>
      <c r="AX12" s="15">
        <f t="shared" si="9"/>
        <v>4</v>
      </c>
      <c r="AY12" s="25">
        <f t="shared" si="10"/>
        <v>28</v>
      </c>
      <c r="AZ12" s="25">
        <f>JanReport14[[#This Row],[Days]]-JanReport14[[#This Row],[Abesent]]</f>
        <v>28</v>
      </c>
      <c r="BA12" s="26">
        <v>17000</v>
      </c>
      <c r="BB12" s="27">
        <f>JanReport14[[#This Row],[Salary]]/JanReport14[[#This Row],[Days]]</f>
        <v>607.14285714285711</v>
      </c>
      <c r="BC12" s="27">
        <f>JanReport14[[#This Row],[PerDaySalary]]*JanReport14[[#This Row],[Abesent]]</f>
        <v>0</v>
      </c>
      <c r="BD12" s="27">
        <f>JanReport14[[#This Row],[Salary]]-JanReport14[[#This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4</v>
      </c>
      <c r="I13" s="15" t="s">
        <v>42</v>
      </c>
      <c r="J13" s="15" t="str">
        <f t="shared" si="3"/>
        <v>WO</v>
      </c>
      <c r="K13" s="15" t="s">
        <v>41</v>
      </c>
      <c r="L13" s="15" t="s">
        <v>41</v>
      </c>
      <c r="M13" s="15" t="s">
        <v>42</v>
      </c>
      <c r="N13" s="15" t="s">
        <v>43</v>
      </c>
      <c r="O13" s="15" t="s">
        <v>41</v>
      </c>
      <c r="P13" s="15" t="s">
        <v>41</v>
      </c>
      <c r="Q13" s="15" t="str">
        <f t="shared" si="3"/>
        <v>WO</v>
      </c>
      <c r="R13" s="15" t="s">
        <v>41</v>
      </c>
      <c r="S13" s="15" t="s">
        <v>41</v>
      </c>
      <c r="T13" s="15" t="s">
        <v>42</v>
      </c>
      <c r="U13" s="15" t="s">
        <v>41</v>
      </c>
      <c r="V13" s="15" t="s">
        <v>41</v>
      </c>
      <c r="W13" s="15" t="s">
        <v>41</v>
      </c>
      <c r="X13" s="15" t="str">
        <f t="shared" si="3"/>
        <v>WO</v>
      </c>
      <c r="Y13" s="15" t="s">
        <v>41</v>
      </c>
      <c r="Z13" s="15" t="s">
        <v>41</v>
      </c>
      <c r="AA13" s="15" t="s">
        <v>42</v>
      </c>
      <c r="AB13" s="15" t="s">
        <v>41</v>
      </c>
      <c r="AC13" s="15" t="s">
        <v>41</v>
      </c>
      <c r="AD13" s="15" t="s">
        <v>41</v>
      </c>
      <c r="AE13" s="15" t="str">
        <f t="shared" si="4"/>
        <v>WO</v>
      </c>
      <c r="AF13" s="45" t="s">
        <v>43</v>
      </c>
      <c r="AG13" s="15" t="s">
        <v>41</v>
      </c>
      <c r="AH13" s="15" t="s">
        <v>42</v>
      </c>
      <c r="AI13" s="15" t="s">
        <v>41</v>
      </c>
      <c r="AJ13" s="15" t="s">
        <v>43</v>
      </c>
      <c r="AK13" s="15"/>
      <c r="AL13" s="15"/>
      <c r="AM13" s="16"/>
      <c r="AN13" s="41"/>
      <c r="AO13" s="41"/>
      <c r="AP13" s="30"/>
      <c r="AQ13" s="9">
        <v>7</v>
      </c>
      <c r="AR13" s="9" t="s">
        <v>9</v>
      </c>
      <c r="AS13" s="9" t="str">
        <f t="shared" si="5"/>
        <v>February</v>
      </c>
      <c r="AT13" s="10">
        <v>10007</v>
      </c>
      <c r="AU13" s="15">
        <f t="shared" si="6"/>
        <v>16</v>
      </c>
      <c r="AV13" s="15">
        <f t="shared" si="7"/>
        <v>5</v>
      </c>
      <c r="AW13" s="15">
        <f t="shared" si="8"/>
        <v>3</v>
      </c>
      <c r="AX13" s="15">
        <f t="shared" si="9"/>
        <v>4</v>
      </c>
      <c r="AY13" s="25">
        <f t="shared" si="10"/>
        <v>28</v>
      </c>
      <c r="AZ13" s="25">
        <f>JanReport14[[#This Row],[Days]]-JanReport14[[#This Row],[Abesent]]</f>
        <v>23</v>
      </c>
      <c r="BA13" s="26">
        <v>15000</v>
      </c>
      <c r="BB13" s="27">
        <f>JanReport14[[#This Row],[Salary]]/JanReport14[[#This Row],[Days]]</f>
        <v>535.71428571428567</v>
      </c>
      <c r="BC13" s="27">
        <f>JanReport14[[#This Row],[PerDaySalary]]*JanReport14[[#This Row],[Abesent]]</f>
        <v>2678.5714285714284</v>
      </c>
      <c r="BD13" s="27">
        <f>JanReport14[[#This Row],[Salary]]-JanReport14[[#This Row],[Deduction]]</f>
        <v>12321.428571428572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4</v>
      </c>
      <c r="I14" s="15" t="s">
        <v>41</v>
      </c>
      <c r="J14" s="15" t="str">
        <f t="shared" si="3"/>
        <v>WO</v>
      </c>
      <c r="K14" s="15" t="s">
        <v>41</v>
      </c>
      <c r="L14" s="15" t="s">
        <v>41</v>
      </c>
      <c r="M14" s="15" t="s">
        <v>41</v>
      </c>
      <c r="N14" s="15" t="s">
        <v>43</v>
      </c>
      <c r="O14" s="15" t="s">
        <v>41</v>
      </c>
      <c r="P14" s="15" t="s">
        <v>41</v>
      </c>
      <c r="Q14" s="15" t="str">
        <f t="shared" si="3"/>
        <v>WO</v>
      </c>
      <c r="R14" s="15" t="s">
        <v>41</v>
      </c>
      <c r="S14" s="15" t="s">
        <v>41</v>
      </c>
      <c r="T14" s="15" t="s">
        <v>41</v>
      </c>
      <c r="U14" s="15" t="s">
        <v>41</v>
      </c>
      <c r="V14" s="15" t="s">
        <v>41</v>
      </c>
      <c r="W14" s="15" t="s">
        <v>41</v>
      </c>
      <c r="X14" s="15" t="str">
        <f t="shared" si="3"/>
        <v>WO</v>
      </c>
      <c r="Y14" s="15" t="s">
        <v>41</v>
      </c>
      <c r="Z14" s="15" t="s">
        <v>41</v>
      </c>
      <c r="AA14" s="15" t="s">
        <v>41</v>
      </c>
      <c r="AB14" s="15" t="s">
        <v>41</v>
      </c>
      <c r="AC14" s="15" t="s">
        <v>41</v>
      </c>
      <c r="AD14" s="15" t="s">
        <v>41</v>
      </c>
      <c r="AE14" s="15" t="str">
        <f t="shared" si="4"/>
        <v>WO</v>
      </c>
      <c r="AF14" s="45" t="s">
        <v>43</v>
      </c>
      <c r="AG14" s="15" t="s">
        <v>41</v>
      </c>
      <c r="AH14" s="15" t="s">
        <v>41</v>
      </c>
      <c r="AI14" s="15" t="s">
        <v>41</v>
      </c>
      <c r="AJ14" s="15" t="s">
        <v>43</v>
      </c>
      <c r="AK14" s="15"/>
      <c r="AL14" s="15"/>
      <c r="AM14" s="16"/>
      <c r="AN14" s="41"/>
      <c r="AO14" s="41"/>
      <c r="AP14" s="30"/>
      <c r="AQ14" s="9">
        <v>8</v>
      </c>
      <c r="AR14" s="9" t="s">
        <v>10</v>
      </c>
      <c r="AS14" s="9" t="str">
        <f t="shared" si="5"/>
        <v>February</v>
      </c>
      <c r="AT14" s="10">
        <v>10008</v>
      </c>
      <c r="AU14" s="15">
        <f t="shared" si="6"/>
        <v>21</v>
      </c>
      <c r="AV14" s="15">
        <f t="shared" si="7"/>
        <v>0</v>
      </c>
      <c r="AW14" s="15">
        <f t="shared" si="8"/>
        <v>3</v>
      </c>
      <c r="AX14" s="15">
        <f t="shared" si="9"/>
        <v>4</v>
      </c>
      <c r="AY14" s="25">
        <f t="shared" si="10"/>
        <v>28</v>
      </c>
      <c r="AZ14" s="25">
        <f>JanReport14[[#This Row],[Days]]-JanReport14[[#This Row],[Abesent]]</f>
        <v>28</v>
      </c>
      <c r="BA14" s="26">
        <v>21000</v>
      </c>
      <c r="BB14" s="27">
        <f>JanReport14[[#This Row],[Salary]]/JanReport14[[#This Row],[Days]]</f>
        <v>750</v>
      </c>
      <c r="BC14" s="27">
        <f>JanReport14[[#This Row],[PerDaySalary]]*JanReport14[[#This Row],[Abesent]]</f>
        <v>0</v>
      </c>
      <c r="BD14" s="27">
        <f>JanReport14[[#This Row],[Salary]]-JanReport14[[#This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4</v>
      </c>
      <c r="I15" s="15" t="s">
        <v>41</v>
      </c>
      <c r="J15" s="15" t="str">
        <f t="shared" si="3"/>
        <v>WO</v>
      </c>
      <c r="K15" s="15" t="s">
        <v>41</v>
      </c>
      <c r="L15" s="15" t="s">
        <v>41</v>
      </c>
      <c r="M15" s="15" t="s">
        <v>41</v>
      </c>
      <c r="N15" s="15" t="s">
        <v>43</v>
      </c>
      <c r="O15" s="15" t="s">
        <v>41</v>
      </c>
      <c r="P15" s="15" t="s">
        <v>41</v>
      </c>
      <c r="Q15" s="15" t="str">
        <f t="shared" si="3"/>
        <v>WO</v>
      </c>
      <c r="R15" s="15" t="s">
        <v>41</v>
      </c>
      <c r="S15" s="15" t="s">
        <v>41</v>
      </c>
      <c r="T15" s="15" t="s">
        <v>41</v>
      </c>
      <c r="U15" s="15" t="s">
        <v>41</v>
      </c>
      <c r="V15" s="15" t="s">
        <v>41</v>
      </c>
      <c r="W15" s="15" t="s">
        <v>41</v>
      </c>
      <c r="X15" s="15" t="str">
        <f t="shared" si="3"/>
        <v>WO</v>
      </c>
      <c r="Y15" s="15" t="s">
        <v>41</v>
      </c>
      <c r="Z15" s="15" t="s">
        <v>41</v>
      </c>
      <c r="AA15" s="15" t="s">
        <v>41</v>
      </c>
      <c r="AB15" s="15" t="s">
        <v>41</v>
      </c>
      <c r="AC15" s="15" t="s">
        <v>41</v>
      </c>
      <c r="AD15" s="15" t="s">
        <v>41</v>
      </c>
      <c r="AE15" s="15" t="str">
        <f t="shared" si="4"/>
        <v>WO</v>
      </c>
      <c r="AF15" s="45" t="s">
        <v>43</v>
      </c>
      <c r="AG15" s="15" t="s">
        <v>41</v>
      </c>
      <c r="AH15" s="15" t="s">
        <v>41</v>
      </c>
      <c r="AI15" s="15" t="s">
        <v>41</v>
      </c>
      <c r="AJ15" s="15" t="s">
        <v>43</v>
      </c>
      <c r="AK15" s="15"/>
      <c r="AL15" s="15"/>
      <c r="AM15" s="16"/>
      <c r="AN15" s="41"/>
      <c r="AO15" s="41"/>
      <c r="AP15" s="30"/>
      <c r="AQ15" s="9">
        <v>9</v>
      </c>
      <c r="AR15" s="9" t="s">
        <v>11</v>
      </c>
      <c r="AS15" s="9" t="str">
        <f t="shared" si="5"/>
        <v>February</v>
      </c>
      <c r="AT15" s="10">
        <v>10009</v>
      </c>
      <c r="AU15" s="15">
        <f t="shared" si="6"/>
        <v>21</v>
      </c>
      <c r="AV15" s="15">
        <f t="shared" si="7"/>
        <v>0</v>
      </c>
      <c r="AW15" s="15">
        <f t="shared" si="8"/>
        <v>3</v>
      </c>
      <c r="AX15" s="15">
        <f t="shared" si="9"/>
        <v>4</v>
      </c>
      <c r="AY15" s="25">
        <f t="shared" si="10"/>
        <v>28</v>
      </c>
      <c r="AZ15" s="25">
        <f>JanReport14[[#This Row],[Days]]-JanReport14[[#This Row],[Abesent]]</f>
        <v>28</v>
      </c>
      <c r="BA15" s="26">
        <v>22000</v>
      </c>
      <c r="BB15" s="27">
        <f>JanReport14[[#This Row],[Salary]]/JanReport14[[#This Row],[Days]]</f>
        <v>785.71428571428567</v>
      </c>
      <c r="BC15" s="27">
        <f>JanReport14[[#This Row],[PerDaySalary]]*JanReport14[[#This Row],[Abesent]]</f>
        <v>0</v>
      </c>
      <c r="BD15" s="27">
        <f>JanReport14[[#This Row],[Salary]]-JanReport14[[#This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4</v>
      </c>
      <c r="I16" s="15" t="s">
        <v>41</v>
      </c>
      <c r="J16" s="15" t="str">
        <f t="shared" si="3"/>
        <v>WO</v>
      </c>
      <c r="K16" s="15" t="s">
        <v>41</v>
      </c>
      <c r="L16" s="15" t="s">
        <v>41</v>
      </c>
      <c r="M16" s="15" t="s">
        <v>41</v>
      </c>
      <c r="N16" s="15" t="s">
        <v>43</v>
      </c>
      <c r="O16" s="15" t="s">
        <v>41</v>
      </c>
      <c r="P16" s="15" t="s">
        <v>41</v>
      </c>
      <c r="Q16" s="15" t="str">
        <f t="shared" si="3"/>
        <v>WO</v>
      </c>
      <c r="R16" s="15" t="s">
        <v>41</v>
      </c>
      <c r="S16" s="15" t="s">
        <v>41</v>
      </c>
      <c r="T16" s="15" t="s">
        <v>41</v>
      </c>
      <c r="U16" s="15" t="s">
        <v>41</v>
      </c>
      <c r="V16" s="15" t="s">
        <v>41</v>
      </c>
      <c r="W16" s="15" t="s">
        <v>41</v>
      </c>
      <c r="X16" s="15" t="str">
        <f t="shared" si="3"/>
        <v>WO</v>
      </c>
      <c r="Y16" s="15" t="s">
        <v>41</v>
      </c>
      <c r="Z16" s="15" t="s">
        <v>41</v>
      </c>
      <c r="AA16" s="15" t="s">
        <v>41</v>
      </c>
      <c r="AB16" s="15" t="s">
        <v>41</v>
      </c>
      <c r="AC16" s="15" t="s">
        <v>41</v>
      </c>
      <c r="AD16" s="15" t="s">
        <v>41</v>
      </c>
      <c r="AE16" s="15" t="str">
        <f t="shared" si="4"/>
        <v>WO</v>
      </c>
      <c r="AF16" s="45" t="s">
        <v>43</v>
      </c>
      <c r="AG16" s="15" t="s">
        <v>41</v>
      </c>
      <c r="AH16" s="15" t="s">
        <v>41</v>
      </c>
      <c r="AI16" s="15" t="s">
        <v>41</v>
      </c>
      <c r="AJ16" s="15" t="s">
        <v>43</v>
      </c>
      <c r="AK16" s="15"/>
      <c r="AL16" s="15"/>
      <c r="AM16" s="16"/>
      <c r="AN16" s="41"/>
      <c r="AO16" s="41"/>
      <c r="AP16" s="30"/>
      <c r="AQ16" s="9">
        <v>10</v>
      </c>
      <c r="AR16" s="9" t="s">
        <v>12</v>
      </c>
      <c r="AS16" s="9" t="str">
        <f t="shared" si="5"/>
        <v>February</v>
      </c>
      <c r="AT16" s="10">
        <v>10010</v>
      </c>
      <c r="AU16" s="15">
        <f t="shared" si="6"/>
        <v>21</v>
      </c>
      <c r="AV16" s="15">
        <f t="shared" si="7"/>
        <v>0</v>
      </c>
      <c r="AW16" s="15">
        <f t="shared" si="8"/>
        <v>3</v>
      </c>
      <c r="AX16" s="15">
        <f t="shared" si="9"/>
        <v>4</v>
      </c>
      <c r="AY16" s="25">
        <f t="shared" si="10"/>
        <v>28</v>
      </c>
      <c r="AZ16" s="25">
        <f>JanReport14[[#This Row],[Days]]-JanReport14[[#This Row],[Abesent]]</f>
        <v>28</v>
      </c>
      <c r="BA16" s="26">
        <v>25000</v>
      </c>
      <c r="BB16" s="27">
        <f>JanReport14[[#This Row],[Salary]]/JanReport14[[#This Row],[Days]]</f>
        <v>892.85714285714289</v>
      </c>
      <c r="BC16" s="27">
        <f>JanReport14[[#This Row],[PerDaySalary]]*JanReport14[[#This Row],[Abesent]]</f>
        <v>0</v>
      </c>
      <c r="BD16" s="27">
        <f>JanReport14[[#This Row],[Salary]]-JanReport14[[#This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4</v>
      </c>
      <c r="I17" s="15" t="s">
        <v>41</v>
      </c>
      <c r="J17" s="15" t="str">
        <f t="shared" si="3"/>
        <v>WO</v>
      </c>
      <c r="K17" s="15" t="s">
        <v>41</v>
      </c>
      <c r="L17" s="15" t="s">
        <v>41</v>
      </c>
      <c r="M17" s="15" t="s">
        <v>41</v>
      </c>
      <c r="N17" s="15" t="s">
        <v>43</v>
      </c>
      <c r="O17" s="15" t="s">
        <v>41</v>
      </c>
      <c r="P17" s="15" t="s">
        <v>42</v>
      </c>
      <c r="Q17" s="15" t="str">
        <f t="shared" si="3"/>
        <v>WO</v>
      </c>
      <c r="R17" s="15" t="s">
        <v>41</v>
      </c>
      <c r="S17" s="15" t="s">
        <v>41</v>
      </c>
      <c r="T17" s="15" t="s">
        <v>41</v>
      </c>
      <c r="U17" s="15" t="s">
        <v>41</v>
      </c>
      <c r="V17" s="15" t="s">
        <v>41</v>
      </c>
      <c r="W17" s="15" t="s">
        <v>42</v>
      </c>
      <c r="X17" s="15" t="str">
        <f t="shared" si="3"/>
        <v>WO</v>
      </c>
      <c r="Y17" s="15" t="s">
        <v>41</v>
      </c>
      <c r="Z17" s="15" t="s">
        <v>41</v>
      </c>
      <c r="AA17" s="15" t="s">
        <v>41</v>
      </c>
      <c r="AB17" s="15" t="s">
        <v>41</v>
      </c>
      <c r="AC17" s="15" t="s">
        <v>41</v>
      </c>
      <c r="AD17" s="15" t="s">
        <v>42</v>
      </c>
      <c r="AE17" s="15" t="str">
        <f t="shared" si="4"/>
        <v>WO</v>
      </c>
      <c r="AF17" s="45" t="s">
        <v>43</v>
      </c>
      <c r="AG17" s="15" t="s">
        <v>41</v>
      </c>
      <c r="AH17" s="15" t="s">
        <v>41</v>
      </c>
      <c r="AI17" s="15" t="s">
        <v>41</v>
      </c>
      <c r="AJ17" s="15" t="s">
        <v>43</v>
      </c>
      <c r="AK17" s="15"/>
      <c r="AL17" s="15"/>
      <c r="AM17" s="16"/>
      <c r="AN17" s="41"/>
      <c r="AO17" s="41"/>
      <c r="AP17" s="30"/>
      <c r="AQ17" s="9">
        <v>11</v>
      </c>
      <c r="AR17" s="9" t="s">
        <v>13</v>
      </c>
      <c r="AS17" s="9" t="str">
        <f t="shared" si="5"/>
        <v>February</v>
      </c>
      <c r="AT17" s="10">
        <v>10011</v>
      </c>
      <c r="AU17" s="15">
        <f t="shared" si="6"/>
        <v>18</v>
      </c>
      <c r="AV17" s="15">
        <f t="shared" si="7"/>
        <v>3</v>
      </c>
      <c r="AW17" s="15">
        <f t="shared" si="8"/>
        <v>3</v>
      </c>
      <c r="AX17" s="15">
        <f t="shared" si="9"/>
        <v>4</v>
      </c>
      <c r="AY17" s="25">
        <f t="shared" si="10"/>
        <v>28</v>
      </c>
      <c r="AZ17" s="25">
        <f>JanReport14[[#This Row],[Days]]-JanReport14[[#This Row],[Abesent]]</f>
        <v>25</v>
      </c>
      <c r="BA17" s="26">
        <v>15000</v>
      </c>
      <c r="BB17" s="27">
        <f>JanReport14[[#This Row],[Salary]]/JanReport14[[#This Row],[Days]]</f>
        <v>535.71428571428567</v>
      </c>
      <c r="BC17" s="27">
        <f>JanReport14[[#This Row],[PerDaySalary]]*JanReport14[[#This Row],[Abesent]]</f>
        <v>1607.1428571428569</v>
      </c>
      <c r="BD17" s="27">
        <f>JanReport14[[#This Row],[Salary]]-JanReport14[[#This Row],[Deduction]]</f>
        <v>13392.857142857143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4</v>
      </c>
      <c r="I18" s="15" t="s">
        <v>41</v>
      </c>
      <c r="J18" s="15" t="str">
        <f t="shared" si="3"/>
        <v>WO</v>
      </c>
      <c r="K18" s="15" t="s">
        <v>41</v>
      </c>
      <c r="L18" s="15" t="s">
        <v>41</v>
      </c>
      <c r="M18" s="15" t="s">
        <v>41</v>
      </c>
      <c r="N18" s="15" t="s">
        <v>43</v>
      </c>
      <c r="O18" s="15" t="s">
        <v>41</v>
      </c>
      <c r="P18" s="15" t="s">
        <v>41</v>
      </c>
      <c r="Q18" s="15" t="str">
        <f t="shared" si="3"/>
        <v>WO</v>
      </c>
      <c r="R18" s="15" t="s">
        <v>41</v>
      </c>
      <c r="S18" s="15" t="s">
        <v>41</v>
      </c>
      <c r="T18" s="15" t="s">
        <v>41</v>
      </c>
      <c r="U18" s="15" t="s">
        <v>41</v>
      </c>
      <c r="V18" s="15" t="s">
        <v>41</v>
      </c>
      <c r="W18" s="15" t="s">
        <v>41</v>
      </c>
      <c r="X18" s="15" t="str">
        <f t="shared" si="3"/>
        <v>WO</v>
      </c>
      <c r="Y18" s="15" t="s">
        <v>41</v>
      </c>
      <c r="Z18" s="15" t="s">
        <v>41</v>
      </c>
      <c r="AA18" s="15" t="s">
        <v>41</v>
      </c>
      <c r="AB18" s="15" t="s">
        <v>41</v>
      </c>
      <c r="AC18" s="15" t="s">
        <v>41</v>
      </c>
      <c r="AD18" s="15" t="s">
        <v>41</v>
      </c>
      <c r="AE18" s="15" t="str">
        <f t="shared" si="4"/>
        <v>WO</v>
      </c>
      <c r="AF18" s="45" t="s">
        <v>43</v>
      </c>
      <c r="AG18" s="15" t="s">
        <v>41</v>
      </c>
      <c r="AH18" s="15" t="s">
        <v>41</v>
      </c>
      <c r="AI18" s="15" t="s">
        <v>41</v>
      </c>
      <c r="AJ18" s="15" t="s">
        <v>43</v>
      </c>
      <c r="AK18" s="15"/>
      <c r="AL18" s="15"/>
      <c r="AM18" s="16"/>
      <c r="AN18" s="41"/>
      <c r="AO18" s="41"/>
      <c r="AP18" s="30"/>
      <c r="AQ18" s="9">
        <v>12</v>
      </c>
      <c r="AR18" s="9" t="s">
        <v>14</v>
      </c>
      <c r="AS18" s="9" t="str">
        <f t="shared" si="5"/>
        <v>February</v>
      </c>
      <c r="AT18" s="10">
        <v>10012</v>
      </c>
      <c r="AU18" s="15">
        <f t="shared" si="6"/>
        <v>21</v>
      </c>
      <c r="AV18" s="15">
        <f t="shared" si="7"/>
        <v>0</v>
      </c>
      <c r="AW18" s="15">
        <f t="shared" si="8"/>
        <v>3</v>
      </c>
      <c r="AX18" s="15">
        <f t="shared" si="9"/>
        <v>4</v>
      </c>
      <c r="AY18" s="25">
        <f t="shared" si="10"/>
        <v>28</v>
      </c>
      <c r="AZ18" s="25">
        <f>JanReport14[[#This Row],[Days]]-JanReport14[[#This Row],[Abesent]]</f>
        <v>28</v>
      </c>
      <c r="BA18" s="26">
        <v>19000</v>
      </c>
      <c r="BB18" s="27">
        <f>JanReport14[[#This Row],[Salary]]/JanReport14[[#This Row],[Days]]</f>
        <v>678.57142857142856</v>
      </c>
      <c r="BC18" s="27">
        <f>JanReport14[[#This Row],[PerDaySalary]]*JanReport14[[#This Row],[Abesent]]</f>
        <v>0</v>
      </c>
      <c r="BD18" s="27">
        <f>JanReport14[[#This Row],[Salary]]-JanReport14[[#This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4</v>
      </c>
      <c r="I19" s="15" t="s">
        <v>41</v>
      </c>
      <c r="J19" s="15" t="str">
        <f t="shared" si="3"/>
        <v>WO</v>
      </c>
      <c r="K19" s="15" t="s">
        <v>41</v>
      </c>
      <c r="L19" s="15" t="s">
        <v>41</v>
      </c>
      <c r="M19" s="15" t="s">
        <v>41</v>
      </c>
      <c r="N19" s="15" t="s">
        <v>43</v>
      </c>
      <c r="O19" s="15" t="s">
        <v>41</v>
      </c>
      <c r="P19" s="15" t="s">
        <v>41</v>
      </c>
      <c r="Q19" s="15" t="str">
        <f t="shared" si="3"/>
        <v>WO</v>
      </c>
      <c r="R19" s="15" t="s">
        <v>41</v>
      </c>
      <c r="S19" s="15" t="s">
        <v>41</v>
      </c>
      <c r="T19" s="15" t="s">
        <v>41</v>
      </c>
      <c r="U19" s="15" t="s">
        <v>41</v>
      </c>
      <c r="V19" s="15" t="s">
        <v>41</v>
      </c>
      <c r="W19" s="15" t="s">
        <v>41</v>
      </c>
      <c r="X19" s="15" t="str">
        <f t="shared" si="3"/>
        <v>WO</v>
      </c>
      <c r="Y19" s="15" t="s">
        <v>41</v>
      </c>
      <c r="Z19" s="15" t="s">
        <v>41</v>
      </c>
      <c r="AA19" s="15" t="s">
        <v>41</v>
      </c>
      <c r="AB19" s="15" t="s">
        <v>41</v>
      </c>
      <c r="AC19" s="15" t="s">
        <v>41</v>
      </c>
      <c r="AD19" s="15" t="s">
        <v>41</v>
      </c>
      <c r="AE19" s="15" t="str">
        <f t="shared" si="4"/>
        <v>WO</v>
      </c>
      <c r="AF19" s="45" t="s">
        <v>43</v>
      </c>
      <c r="AG19" s="15" t="s">
        <v>41</v>
      </c>
      <c r="AH19" s="15" t="s">
        <v>41</v>
      </c>
      <c r="AI19" s="15" t="s">
        <v>41</v>
      </c>
      <c r="AJ19" s="15" t="s">
        <v>43</v>
      </c>
      <c r="AK19" s="15"/>
      <c r="AL19" s="15"/>
      <c r="AM19" s="16"/>
      <c r="AN19" s="41"/>
      <c r="AO19" s="41"/>
      <c r="AP19" s="30"/>
      <c r="AQ19" s="9">
        <v>13</v>
      </c>
      <c r="AR19" s="9" t="s">
        <v>15</v>
      </c>
      <c r="AS19" s="9" t="str">
        <f t="shared" si="5"/>
        <v>February</v>
      </c>
      <c r="AT19" s="10">
        <v>10013</v>
      </c>
      <c r="AU19" s="15">
        <f t="shared" si="6"/>
        <v>21</v>
      </c>
      <c r="AV19" s="15">
        <f t="shared" si="7"/>
        <v>0</v>
      </c>
      <c r="AW19" s="15">
        <f t="shared" si="8"/>
        <v>3</v>
      </c>
      <c r="AX19" s="15">
        <f t="shared" si="9"/>
        <v>4</v>
      </c>
      <c r="AY19" s="25">
        <f t="shared" si="10"/>
        <v>28</v>
      </c>
      <c r="AZ19" s="25">
        <f>JanReport14[[#This Row],[Days]]-JanReport14[[#This Row],[Abesent]]</f>
        <v>28</v>
      </c>
      <c r="BA19" s="26">
        <v>20000</v>
      </c>
      <c r="BB19" s="27">
        <f>JanReport14[[#This Row],[Salary]]/JanReport14[[#This Row],[Days]]</f>
        <v>714.28571428571433</v>
      </c>
      <c r="BC19" s="27">
        <f>JanReport14[[#This Row],[PerDaySalary]]*JanReport14[[#This Row],[Abesent]]</f>
        <v>0</v>
      </c>
      <c r="BD19" s="27">
        <f>JanReport14[[#This Row],[Salary]]-JanReport14[[#This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4</v>
      </c>
      <c r="I20" s="15" t="s">
        <v>41</v>
      </c>
      <c r="J20" s="15" t="str">
        <f t="shared" si="3"/>
        <v>WO</v>
      </c>
      <c r="K20" s="15" t="s">
        <v>41</v>
      </c>
      <c r="L20" s="15" t="s">
        <v>41</v>
      </c>
      <c r="M20" s="15" t="s">
        <v>41</v>
      </c>
      <c r="N20" s="15" t="s">
        <v>43</v>
      </c>
      <c r="O20" s="15" t="s">
        <v>41</v>
      </c>
      <c r="P20" s="15" t="s">
        <v>41</v>
      </c>
      <c r="Q20" s="15" t="str">
        <f t="shared" si="3"/>
        <v>WO</v>
      </c>
      <c r="R20" s="15" t="s">
        <v>41</v>
      </c>
      <c r="S20" s="15" t="s">
        <v>41</v>
      </c>
      <c r="T20" s="15" t="s">
        <v>41</v>
      </c>
      <c r="U20" s="15" t="s">
        <v>41</v>
      </c>
      <c r="V20" s="15" t="s">
        <v>41</v>
      </c>
      <c r="W20" s="15" t="s">
        <v>41</v>
      </c>
      <c r="X20" s="15" t="str">
        <f t="shared" si="3"/>
        <v>WO</v>
      </c>
      <c r="Y20" s="15" t="s">
        <v>41</v>
      </c>
      <c r="Z20" s="15" t="s">
        <v>41</v>
      </c>
      <c r="AA20" s="15" t="s">
        <v>41</v>
      </c>
      <c r="AB20" s="15" t="s">
        <v>41</v>
      </c>
      <c r="AC20" s="15" t="s">
        <v>41</v>
      </c>
      <c r="AD20" s="15" t="s">
        <v>41</v>
      </c>
      <c r="AE20" s="15" t="str">
        <f t="shared" si="4"/>
        <v>WO</v>
      </c>
      <c r="AF20" s="45" t="s">
        <v>43</v>
      </c>
      <c r="AG20" s="15" t="s">
        <v>41</v>
      </c>
      <c r="AH20" s="15" t="s">
        <v>41</v>
      </c>
      <c r="AI20" s="15" t="s">
        <v>41</v>
      </c>
      <c r="AJ20" s="15" t="s">
        <v>43</v>
      </c>
      <c r="AK20" s="15"/>
      <c r="AL20" s="15"/>
      <c r="AM20" s="16"/>
      <c r="AN20" s="41"/>
      <c r="AO20" s="41"/>
      <c r="AP20" s="30"/>
      <c r="AQ20" s="9">
        <v>14</v>
      </c>
      <c r="AR20" s="9" t="s">
        <v>16</v>
      </c>
      <c r="AS20" s="9" t="str">
        <f t="shared" si="5"/>
        <v>February</v>
      </c>
      <c r="AT20" s="10">
        <v>10014</v>
      </c>
      <c r="AU20" s="15">
        <f t="shared" si="6"/>
        <v>21</v>
      </c>
      <c r="AV20" s="15">
        <f t="shared" si="7"/>
        <v>0</v>
      </c>
      <c r="AW20" s="15">
        <f t="shared" si="8"/>
        <v>3</v>
      </c>
      <c r="AX20" s="15">
        <f t="shared" si="9"/>
        <v>4</v>
      </c>
      <c r="AY20" s="25">
        <f t="shared" si="10"/>
        <v>28</v>
      </c>
      <c r="AZ20" s="25">
        <f>JanReport14[[#This Row],[Days]]-JanReport14[[#This Row],[Abesent]]</f>
        <v>28</v>
      </c>
      <c r="BA20" s="26">
        <v>19000</v>
      </c>
      <c r="BB20" s="27">
        <f>JanReport14[[#This Row],[Salary]]/JanReport14[[#This Row],[Days]]</f>
        <v>678.57142857142856</v>
      </c>
      <c r="BC20" s="27">
        <f>JanReport14[[#This Row],[PerDaySalary]]*JanReport14[[#This Row],[Abesent]]</f>
        <v>0</v>
      </c>
      <c r="BD20" s="27">
        <f>JanReport14[[#This Row],[Salary]]-JanReport14[[#This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4</v>
      </c>
      <c r="I21" s="15" t="s">
        <v>41</v>
      </c>
      <c r="J21" s="15" t="str">
        <f t="shared" si="3"/>
        <v>WO</v>
      </c>
      <c r="K21" s="15" t="s">
        <v>41</v>
      </c>
      <c r="L21" s="15" t="s">
        <v>41</v>
      </c>
      <c r="M21" s="15" t="s">
        <v>41</v>
      </c>
      <c r="N21" s="15" t="s">
        <v>43</v>
      </c>
      <c r="O21" s="15" t="s">
        <v>41</v>
      </c>
      <c r="P21" s="15" t="s">
        <v>41</v>
      </c>
      <c r="Q21" s="15" t="str">
        <f t="shared" si="3"/>
        <v>WO</v>
      </c>
      <c r="R21" s="15" t="s">
        <v>41</v>
      </c>
      <c r="S21" s="15" t="s">
        <v>41</v>
      </c>
      <c r="T21" s="15" t="s">
        <v>41</v>
      </c>
      <c r="U21" s="15" t="s">
        <v>41</v>
      </c>
      <c r="V21" s="15" t="s">
        <v>41</v>
      </c>
      <c r="W21" s="15" t="s">
        <v>41</v>
      </c>
      <c r="X21" s="15" t="str">
        <f t="shared" si="3"/>
        <v>WO</v>
      </c>
      <c r="Y21" s="15" t="s">
        <v>41</v>
      </c>
      <c r="Z21" s="15" t="s">
        <v>41</v>
      </c>
      <c r="AA21" s="15" t="s">
        <v>41</v>
      </c>
      <c r="AB21" s="15" t="s">
        <v>41</v>
      </c>
      <c r="AC21" s="15" t="s">
        <v>41</v>
      </c>
      <c r="AD21" s="15" t="s">
        <v>41</v>
      </c>
      <c r="AE21" s="15" t="str">
        <f t="shared" si="4"/>
        <v>WO</v>
      </c>
      <c r="AF21" s="45" t="s">
        <v>43</v>
      </c>
      <c r="AG21" s="15" t="s">
        <v>41</v>
      </c>
      <c r="AH21" s="15" t="s">
        <v>41</v>
      </c>
      <c r="AI21" s="15" t="s">
        <v>41</v>
      </c>
      <c r="AJ21" s="15" t="s">
        <v>43</v>
      </c>
      <c r="AK21" s="15"/>
      <c r="AL21" s="15"/>
      <c r="AM21" s="16"/>
      <c r="AN21" s="41"/>
      <c r="AO21" s="41"/>
      <c r="AP21" s="30"/>
      <c r="AQ21" s="9">
        <v>15</v>
      </c>
      <c r="AR21" s="9" t="s">
        <v>17</v>
      </c>
      <c r="AS21" s="9" t="str">
        <f t="shared" si="5"/>
        <v>February</v>
      </c>
      <c r="AT21" s="10">
        <v>10015</v>
      </c>
      <c r="AU21" s="15">
        <f t="shared" si="6"/>
        <v>21</v>
      </c>
      <c r="AV21" s="15">
        <f t="shared" si="7"/>
        <v>0</v>
      </c>
      <c r="AW21" s="15">
        <f t="shared" si="8"/>
        <v>3</v>
      </c>
      <c r="AX21" s="15">
        <f t="shared" si="9"/>
        <v>4</v>
      </c>
      <c r="AY21" s="25">
        <f t="shared" si="10"/>
        <v>28</v>
      </c>
      <c r="AZ21" s="25">
        <f>JanReport14[[#This Row],[Days]]-JanReport14[[#This Row],[Abesent]]</f>
        <v>28</v>
      </c>
      <c r="BA21" s="26">
        <v>25000</v>
      </c>
      <c r="BB21" s="27">
        <f>JanReport14[[#This Row],[Salary]]/JanReport14[[#This Row],[Days]]</f>
        <v>892.85714285714289</v>
      </c>
      <c r="BC21" s="27">
        <f>JanReport14[[#This Row],[PerDaySalary]]*JanReport14[[#This Row],[Abesent]]</f>
        <v>0</v>
      </c>
      <c r="BD21" s="27">
        <f>JanReport14[[#This Row],[Salary]]-JanReport14[[#This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4</v>
      </c>
      <c r="I22" s="15" t="s">
        <v>41</v>
      </c>
      <c r="J22" s="15" t="str">
        <f t="shared" si="3"/>
        <v>WO</v>
      </c>
      <c r="K22" s="15" t="s">
        <v>41</v>
      </c>
      <c r="L22" s="15" t="s">
        <v>41</v>
      </c>
      <c r="M22" s="15" t="s">
        <v>41</v>
      </c>
      <c r="N22" s="15" t="s">
        <v>43</v>
      </c>
      <c r="O22" s="15" t="s">
        <v>41</v>
      </c>
      <c r="P22" s="15" t="s">
        <v>41</v>
      </c>
      <c r="Q22" s="15" t="str">
        <f t="shared" si="3"/>
        <v>WO</v>
      </c>
      <c r="R22" s="15" t="s">
        <v>41</v>
      </c>
      <c r="S22" s="15" t="s">
        <v>41</v>
      </c>
      <c r="T22" s="15" t="s">
        <v>41</v>
      </c>
      <c r="U22" s="15" t="s">
        <v>42</v>
      </c>
      <c r="V22" s="15" t="s">
        <v>41</v>
      </c>
      <c r="W22" s="15" t="s">
        <v>41</v>
      </c>
      <c r="X22" s="15" t="str">
        <f t="shared" ref="X22" si="11">IF(X$5="Sun","WO","")</f>
        <v>WO</v>
      </c>
      <c r="Y22" s="15" t="s">
        <v>41</v>
      </c>
      <c r="Z22" s="15" t="s">
        <v>41</v>
      </c>
      <c r="AA22" s="15" t="s">
        <v>41</v>
      </c>
      <c r="AB22" s="15" t="s">
        <v>42</v>
      </c>
      <c r="AC22" s="15" t="s">
        <v>41</v>
      </c>
      <c r="AD22" s="15" t="s">
        <v>41</v>
      </c>
      <c r="AE22" s="15" t="str">
        <f t="shared" si="4"/>
        <v>WO</v>
      </c>
      <c r="AF22" s="45" t="s">
        <v>43</v>
      </c>
      <c r="AG22" s="15" t="s">
        <v>41</v>
      </c>
      <c r="AH22" s="15" t="s">
        <v>41</v>
      </c>
      <c r="AI22" s="15" t="s">
        <v>42</v>
      </c>
      <c r="AJ22" s="15" t="s">
        <v>43</v>
      </c>
      <c r="AK22" s="15"/>
      <c r="AL22" s="15"/>
      <c r="AM22" s="16"/>
      <c r="AN22" s="41"/>
      <c r="AO22" s="41"/>
      <c r="AP22" s="30"/>
      <c r="AQ22" s="9">
        <v>16</v>
      </c>
      <c r="AR22" s="9" t="s">
        <v>18</v>
      </c>
      <c r="AS22" s="9" t="str">
        <f t="shared" si="5"/>
        <v>February</v>
      </c>
      <c r="AT22" s="10">
        <v>10016</v>
      </c>
      <c r="AU22" s="15">
        <f t="shared" si="6"/>
        <v>18</v>
      </c>
      <c r="AV22" s="15">
        <f t="shared" si="7"/>
        <v>3</v>
      </c>
      <c r="AW22" s="15">
        <f t="shared" si="8"/>
        <v>3</v>
      </c>
      <c r="AX22" s="15">
        <f t="shared" si="9"/>
        <v>4</v>
      </c>
      <c r="AY22" s="25">
        <f t="shared" si="10"/>
        <v>28</v>
      </c>
      <c r="AZ22" s="25">
        <f>JanReport14[[#This Row],[Days]]-JanReport14[[#This Row],[Abesent]]</f>
        <v>25</v>
      </c>
      <c r="BA22" s="26">
        <v>32000</v>
      </c>
      <c r="BB22" s="27">
        <f>JanReport14[[#This Row],[Salary]]/JanReport14[[#This Row],[Days]]</f>
        <v>1142.8571428571429</v>
      </c>
      <c r="BC22" s="27">
        <f>JanReport14[[#This Row],[PerDaySalary]]*JanReport14[[#This Row],[Abesent]]</f>
        <v>3428.5714285714284</v>
      </c>
      <c r="BD22" s="27">
        <f>JanReport14[[#This Row],[Salary]]-JanReport14[[#This Row],[Deduction]]</f>
        <v>28571.428571428572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4</v>
      </c>
      <c r="I23" s="15" t="s">
        <v>41</v>
      </c>
      <c r="J23" s="15" t="str">
        <f t="shared" ref="J23:X26" si="12">IF(J$5="Sun","WO","")</f>
        <v>WO</v>
      </c>
      <c r="K23" s="15" t="s">
        <v>41</v>
      </c>
      <c r="L23" s="15" t="s">
        <v>41</v>
      </c>
      <c r="M23" s="15" t="s">
        <v>41</v>
      </c>
      <c r="N23" s="15" t="s">
        <v>43</v>
      </c>
      <c r="O23" s="15" t="s">
        <v>41</v>
      </c>
      <c r="P23" s="15" t="s">
        <v>41</v>
      </c>
      <c r="Q23" s="15" t="str">
        <f t="shared" si="12"/>
        <v>WO</v>
      </c>
      <c r="R23" s="15" t="s">
        <v>41</v>
      </c>
      <c r="S23" s="15" t="s">
        <v>41</v>
      </c>
      <c r="T23" s="15" t="s">
        <v>41</v>
      </c>
      <c r="U23" s="15" t="s">
        <v>41</v>
      </c>
      <c r="V23" s="15" t="s">
        <v>41</v>
      </c>
      <c r="W23" s="15" t="s">
        <v>41</v>
      </c>
      <c r="X23" s="15" t="str">
        <f t="shared" si="12"/>
        <v>WO</v>
      </c>
      <c r="Y23" s="15" t="s">
        <v>41</v>
      </c>
      <c r="Z23" s="15" t="s">
        <v>41</v>
      </c>
      <c r="AA23" s="15" t="s">
        <v>41</v>
      </c>
      <c r="AB23" s="15" t="s">
        <v>41</v>
      </c>
      <c r="AC23" s="15" t="s">
        <v>41</v>
      </c>
      <c r="AD23" s="15" t="s">
        <v>41</v>
      </c>
      <c r="AE23" s="15" t="str">
        <f t="shared" ref="AE23:AE26" si="13">IF(AE$5="Sun","WO","")</f>
        <v>WO</v>
      </c>
      <c r="AF23" s="45" t="s">
        <v>43</v>
      </c>
      <c r="AG23" s="15" t="s">
        <v>41</v>
      </c>
      <c r="AH23" s="15" t="s">
        <v>41</v>
      </c>
      <c r="AI23" s="15" t="s">
        <v>41</v>
      </c>
      <c r="AJ23" s="15" t="s">
        <v>43</v>
      </c>
      <c r="AK23" s="15"/>
      <c r="AL23" s="15"/>
      <c r="AM23" s="16"/>
      <c r="AN23" s="41"/>
      <c r="AO23" s="41"/>
      <c r="AP23" s="30"/>
      <c r="AQ23" s="9">
        <v>17</v>
      </c>
      <c r="AR23" s="9" t="s">
        <v>19</v>
      </c>
      <c r="AS23" s="9" t="str">
        <f t="shared" si="5"/>
        <v>February</v>
      </c>
      <c r="AT23" s="10">
        <v>10017</v>
      </c>
      <c r="AU23" s="15">
        <f t="shared" si="6"/>
        <v>21</v>
      </c>
      <c r="AV23" s="15">
        <f t="shared" si="7"/>
        <v>0</v>
      </c>
      <c r="AW23" s="15">
        <f t="shared" si="8"/>
        <v>3</v>
      </c>
      <c r="AX23" s="15">
        <f t="shared" si="9"/>
        <v>4</v>
      </c>
      <c r="AY23" s="25">
        <f t="shared" si="10"/>
        <v>28</v>
      </c>
      <c r="AZ23" s="25">
        <f>JanReport14[[#This Row],[Days]]-JanReport14[[#This Row],[Abesent]]</f>
        <v>28</v>
      </c>
      <c r="BA23" s="26">
        <v>35000</v>
      </c>
      <c r="BB23" s="27">
        <f>JanReport14[[#This Row],[Salary]]/JanReport14[[#This Row],[Days]]</f>
        <v>1250</v>
      </c>
      <c r="BC23" s="27">
        <f>JanReport14[[#This Row],[PerDaySalary]]*JanReport14[[#This Row],[Abesent]]</f>
        <v>0</v>
      </c>
      <c r="BD23" s="27">
        <f>JanReport14[[#This Row],[Salary]]-JanReport14[[#This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4</v>
      </c>
      <c r="I24" s="15" t="s">
        <v>41</v>
      </c>
      <c r="J24" s="15" t="str">
        <f t="shared" si="12"/>
        <v>WO</v>
      </c>
      <c r="K24" s="15" t="s">
        <v>41</v>
      </c>
      <c r="L24" s="15" t="s">
        <v>41</v>
      </c>
      <c r="M24" s="15" t="s">
        <v>41</v>
      </c>
      <c r="N24" s="15" t="s">
        <v>43</v>
      </c>
      <c r="O24" s="15" t="s">
        <v>41</v>
      </c>
      <c r="P24" s="15" t="s">
        <v>41</v>
      </c>
      <c r="Q24" s="15" t="str">
        <f t="shared" si="12"/>
        <v>WO</v>
      </c>
      <c r="R24" s="15" t="s">
        <v>41</v>
      </c>
      <c r="S24" s="15" t="s">
        <v>41</v>
      </c>
      <c r="T24" s="15" t="s">
        <v>41</v>
      </c>
      <c r="U24" s="15" t="s">
        <v>41</v>
      </c>
      <c r="V24" s="15" t="s">
        <v>41</v>
      </c>
      <c r="W24" s="15" t="s">
        <v>41</v>
      </c>
      <c r="X24" s="15" t="str">
        <f t="shared" si="12"/>
        <v>WO</v>
      </c>
      <c r="Y24" s="15" t="s">
        <v>41</v>
      </c>
      <c r="Z24" s="15" t="s">
        <v>41</v>
      </c>
      <c r="AA24" s="15" t="s">
        <v>41</v>
      </c>
      <c r="AB24" s="15" t="s">
        <v>41</v>
      </c>
      <c r="AC24" s="15" t="s">
        <v>41</v>
      </c>
      <c r="AD24" s="15" t="s">
        <v>41</v>
      </c>
      <c r="AE24" s="15" t="str">
        <f t="shared" si="13"/>
        <v>WO</v>
      </c>
      <c r="AF24" s="45" t="s">
        <v>43</v>
      </c>
      <c r="AG24" s="15" t="s">
        <v>41</v>
      </c>
      <c r="AH24" s="15" t="s">
        <v>41</v>
      </c>
      <c r="AI24" s="15" t="s">
        <v>41</v>
      </c>
      <c r="AJ24" s="15" t="s">
        <v>43</v>
      </c>
      <c r="AK24" s="15"/>
      <c r="AL24" s="15"/>
      <c r="AM24" s="16"/>
      <c r="AN24" s="41"/>
      <c r="AO24" s="41"/>
      <c r="AP24" s="30"/>
      <c r="AQ24" s="9">
        <v>18</v>
      </c>
      <c r="AR24" s="9" t="s">
        <v>20</v>
      </c>
      <c r="AS24" s="9" t="str">
        <f t="shared" si="5"/>
        <v>February</v>
      </c>
      <c r="AT24" s="10">
        <v>10018</v>
      </c>
      <c r="AU24" s="15">
        <f t="shared" si="6"/>
        <v>21</v>
      </c>
      <c r="AV24" s="15">
        <f t="shared" si="7"/>
        <v>0</v>
      </c>
      <c r="AW24" s="15">
        <f t="shared" si="8"/>
        <v>3</v>
      </c>
      <c r="AX24" s="15">
        <f t="shared" si="9"/>
        <v>4</v>
      </c>
      <c r="AY24" s="25">
        <f t="shared" si="10"/>
        <v>28</v>
      </c>
      <c r="AZ24" s="25">
        <f>JanReport14[[#This Row],[Days]]-JanReport14[[#This Row],[Abesent]]</f>
        <v>28</v>
      </c>
      <c r="BA24" s="26">
        <v>28000</v>
      </c>
      <c r="BB24" s="27">
        <f>JanReport14[[#This Row],[Salary]]/JanReport14[[#This Row],[Days]]</f>
        <v>1000</v>
      </c>
      <c r="BC24" s="27">
        <f>JanReport14[[#This Row],[PerDaySalary]]*JanReport14[[#This Row],[Abesent]]</f>
        <v>0</v>
      </c>
      <c r="BD24" s="27">
        <f>JanReport14[[#This Row],[Salary]]-JanReport14[[#This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4</v>
      </c>
      <c r="I25" s="15" t="s">
        <v>41</v>
      </c>
      <c r="J25" s="15" t="str">
        <f t="shared" si="12"/>
        <v>WO</v>
      </c>
      <c r="K25" s="15" t="s">
        <v>41</v>
      </c>
      <c r="L25" s="15" t="s">
        <v>41</v>
      </c>
      <c r="M25" s="15" t="s">
        <v>41</v>
      </c>
      <c r="N25" s="15" t="s">
        <v>43</v>
      </c>
      <c r="O25" s="15" t="s">
        <v>41</v>
      </c>
      <c r="P25" s="15" t="s">
        <v>41</v>
      </c>
      <c r="Q25" s="15" t="str">
        <f t="shared" si="12"/>
        <v>WO</v>
      </c>
      <c r="R25" s="15" t="s">
        <v>41</v>
      </c>
      <c r="S25" s="15" t="s">
        <v>41</v>
      </c>
      <c r="T25" s="15" t="s">
        <v>41</v>
      </c>
      <c r="U25" s="15" t="s">
        <v>41</v>
      </c>
      <c r="V25" s="15" t="s">
        <v>41</v>
      </c>
      <c r="W25" s="15" t="s">
        <v>41</v>
      </c>
      <c r="X25" s="15" t="str">
        <f t="shared" si="12"/>
        <v>WO</v>
      </c>
      <c r="Y25" s="15" t="s">
        <v>41</v>
      </c>
      <c r="Z25" s="15" t="s">
        <v>41</v>
      </c>
      <c r="AA25" s="15" t="s">
        <v>41</v>
      </c>
      <c r="AB25" s="15" t="s">
        <v>41</v>
      </c>
      <c r="AC25" s="15" t="s">
        <v>41</v>
      </c>
      <c r="AD25" s="15" t="s">
        <v>41</v>
      </c>
      <c r="AE25" s="15" t="str">
        <f t="shared" si="13"/>
        <v>WO</v>
      </c>
      <c r="AF25" s="45" t="s">
        <v>43</v>
      </c>
      <c r="AG25" s="15" t="s">
        <v>41</v>
      </c>
      <c r="AH25" s="15" t="s">
        <v>41</v>
      </c>
      <c r="AI25" s="15" t="s">
        <v>41</v>
      </c>
      <c r="AJ25" s="15" t="s">
        <v>43</v>
      </c>
      <c r="AK25" s="15"/>
      <c r="AL25" s="15"/>
      <c r="AM25" s="16"/>
      <c r="AN25" s="41"/>
      <c r="AO25" s="41"/>
      <c r="AP25" s="30"/>
      <c r="AQ25" s="9">
        <v>19</v>
      </c>
      <c r="AR25" s="9" t="s">
        <v>21</v>
      </c>
      <c r="AS25" s="9" t="str">
        <f t="shared" si="5"/>
        <v>February</v>
      </c>
      <c r="AT25" s="10">
        <v>10019</v>
      </c>
      <c r="AU25" s="15">
        <f t="shared" si="6"/>
        <v>21</v>
      </c>
      <c r="AV25" s="15">
        <f t="shared" si="7"/>
        <v>0</v>
      </c>
      <c r="AW25" s="15">
        <f t="shared" si="8"/>
        <v>3</v>
      </c>
      <c r="AX25" s="15">
        <f t="shared" si="9"/>
        <v>4</v>
      </c>
      <c r="AY25" s="25">
        <f t="shared" si="10"/>
        <v>28</v>
      </c>
      <c r="AZ25" s="25">
        <f>JanReport14[[#This Row],[Days]]-JanReport14[[#This Row],[Abesent]]</f>
        <v>28</v>
      </c>
      <c r="BA25" s="26">
        <v>19000</v>
      </c>
      <c r="BB25" s="27">
        <f>JanReport14[[#This Row],[Salary]]/JanReport14[[#This Row],[Days]]</f>
        <v>678.57142857142856</v>
      </c>
      <c r="BC25" s="27">
        <f>JanReport14[[#This Row],[PerDaySalary]]*JanReport14[[#This Row],[Abesent]]</f>
        <v>0</v>
      </c>
      <c r="BD25" s="27">
        <f>JanReport14[[#This Row],[Salary]]-JanReport14[[#This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4</v>
      </c>
      <c r="I26" s="17" t="s">
        <v>41</v>
      </c>
      <c r="J26" s="17" t="str">
        <f t="shared" si="12"/>
        <v>WO</v>
      </c>
      <c r="K26" s="17" t="s">
        <v>41</v>
      </c>
      <c r="L26" s="17" t="s">
        <v>41</v>
      </c>
      <c r="M26" s="17" t="s">
        <v>41</v>
      </c>
      <c r="N26" s="17" t="s">
        <v>43</v>
      </c>
      <c r="O26" s="17" t="s">
        <v>41</v>
      </c>
      <c r="P26" s="17" t="s">
        <v>41</v>
      </c>
      <c r="Q26" s="17" t="str">
        <f t="shared" si="12"/>
        <v>WO</v>
      </c>
      <c r="R26" s="17" t="s">
        <v>41</v>
      </c>
      <c r="S26" s="17" t="s">
        <v>41</v>
      </c>
      <c r="T26" s="17" t="s">
        <v>41</v>
      </c>
      <c r="U26" s="17" t="s">
        <v>41</v>
      </c>
      <c r="V26" s="17" t="s">
        <v>41</v>
      </c>
      <c r="W26" s="17" t="s">
        <v>41</v>
      </c>
      <c r="X26" s="17" t="str">
        <f t="shared" si="12"/>
        <v>WO</v>
      </c>
      <c r="Y26" s="17" t="s">
        <v>41</v>
      </c>
      <c r="Z26" s="17" t="s">
        <v>41</v>
      </c>
      <c r="AA26" s="17" t="s">
        <v>41</v>
      </c>
      <c r="AB26" s="17" t="s">
        <v>41</v>
      </c>
      <c r="AC26" s="17" t="s">
        <v>41</v>
      </c>
      <c r="AD26" s="17" t="s">
        <v>41</v>
      </c>
      <c r="AE26" s="17" t="str">
        <f t="shared" si="13"/>
        <v>WO</v>
      </c>
      <c r="AF26" s="46" t="s">
        <v>43</v>
      </c>
      <c r="AG26" s="17" t="s">
        <v>41</v>
      </c>
      <c r="AH26" s="17" t="s">
        <v>41</v>
      </c>
      <c r="AI26" s="17" t="s">
        <v>41</v>
      </c>
      <c r="AJ26" s="17" t="s">
        <v>43</v>
      </c>
      <c r="AK26" s="17"/>
      <c r="AL26" s="17"/>
      <c r="AM26" s="18"/>
      <c r="AN26" s="41"/>
      <c r="AO26" s="41"/>
      <c r="AP26" s="30"/>
      <c r="AQ26" s="9">
        <v>20</v>
      </c>
      <c r="AR26" s="9" t="s">
        <v>22</v>
      </c>
      <c r="AS26" s="9" t="str">
        <f t="shared" si="5"/>
        <v>February</v>
      </c>
      <c r="AT26" s="10">
        <v>10020</v>
      </c>
      <c r="AU26" s="15">
        <f t="shared" si="6"/>
        <v>21</v>
      </c>
      <c r="AV26" s="15">
        <f t="shared" si="7"/>
        <v>0</v>
      </c>
      <c r="AW26" s="15">
        <f t="shared" si="8"/>
        <v>3</v>
      </c>
      <c r="AX26" s="15">
        <f t="shared" si="9"/>
        <v>4</v>
      </c>
      <c r="AY26" s="25">
        <f t="shared" si="10"/>
        <v>28</v>
      </c>
      <c r="AZ26" s="25">
        <f>JanReport14[[#This Row],[Days]]-JanReport14[[#This Row],[Abesent]]</f>
        <v>28</v>
      </c>
      <c r="BA26" s="26">
        <v>20000</v>
      </c>
      <c r="BB26" s="27">
        <f>JanReport14[[#This Row],[Salary]]/JanReport14[[#This Row],[Days]]</f>
        <v>714.28571428571433</v>
      </c>
      <c r="BC26" s="27">
        <f>JanReport14[[#This Row],[PerDaySalary]]*JanReport14[[#This Row],[Abesent]]</f>
        <v>0</v>
      </c>
      <c r="BD26" s="27">
        <f>JanReport14[[#This Row],[Salary]]-JanReport14[[#This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43" priority="1" operator="containsText" text="L">
      <formula>NOT(ISERROR(SEARCH("L",I7)))</formula>
    </cfRule>
    <cfRule type="containsText" dxfId="42" priority="2" operator="containsText" text="A">
      <formula>NOT(ISERROR(SEARCH("A",I7)))</formula>
    </cfRule>
    <cfRule type="containsText" dxfId="41" priority="3" operator="containsText" text="P">
      <formula>NOT(ISERROR(SEARCH("P",I7)))</formula>
    </cfRule>
    <cfRule type="containsText" dxfId="40" priority="4" operator="containsText" text="WO">
      <formula>NOT(ISERROR(SEARCH("WO",I7)))</formula>
    </cfRule>
  </conditionalFormatting>
  <dataValidations count="1">
    <dataValidation type="list" allowBlank="1" showInputMessage="1" showErrorMessage="1" sqref="I7:I26 K7:P26 Y7:AD26 R7:W26 AF7:AJ26" xr:uid="{6700BE95-7C3E-4653-9D7E-D7D511F01431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A7EE53-C8FF-47CA-84F7-B133EA46FF11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1D54D6D-8318-4C0F-A607-95587858FB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Feb!AU7:AW7</xm:f>
              <xm:sqref>BE7</xm:sqref>
            </x14:sparkline>
            <x14:sparkline>
              <xm:f>Feb!AU8:AW8</xm:f>
              <xm:sqref>BE8</xm:sqref>
            </x14:sparkline>
            <x14:sparkline>
              <xm:f>Feb!AU9:AW9</xm:f>
              <xm:sqref>BE9</xm:sqref>
            </x14:sparkline>
            <x14:sparkline>
              <xm:f>Feb!AU10:AW10</xm:f>
              <xm:sqref>BE10</xm:sqref>
            </x14:sparkline>
            <x14:sparkline>
              <xm:f>Feb!AU11:AW11</xm:f>
              <xm:sqref>BE11</xm:sqref>
            </x14:sparkline>
            <x14:sparkline>
              <xm:f>Feb!AU12:AW12</xm:f>
              <xm:sqref>BE12</xm:sqref>
            </x14:sparkline>
            <x14:sparkline>
              <xm:f>Feb!AU13:AW13</xm:f>
              <xm:sqref>BE13</xm:sqref>
            </x14:sparkline>
            <x14:sparkline>
              <xm:f>Feb!AU14:AW14</xm:f>
              <xm:sqref>BE14</xm:sqref>
            </x14:sparkline>
            <x14:sparkline>
              <xm:f>Feb!AU15:AW15</xm:f>
              <xm:sqref>BE15</xm:sqref>
            </x14:sparkline>
            <x14:sparkline>
              <xm:f>Feb!AU16:AW16</xm:f>
              <xm:sqref>BE16</xm:sqref>
            </x14:sparkline>
            <x14:sparkline>
              <xm:f>Feb!AU17:AW17</xm:f>
              <xm:sqref>BE17</xm:sqref>
            </x14:sparkline>
            <x14:sparkline>
              <xm:f>Feb!AU18:AW18</xm:f>
              <xm:sqref>BE18</xm:sqref>
            </x14:sparkline>
            <x14:sparkline>
              <xm:f>Feb!AU19:AW19</xm:f>
              <xm:sqref>BE19</xm:sqref>
            </x14:sparkline>
            <x14:sparkline>
              <xm:f>Feb!AU20:AW20</xm:f>
              <xm:sqref>BE20</xm:sqref>
            </x14:sparkline>
            <x14:sparkline>
              <xm:f>Feb!AU21:AW21</xm:f>
              <xm:sqref>BE21</xm:sqref>
            </x14:sparkline>
            <x14:sparkline>
              <xm:f>Feb!AU22:AW22</xm:f>
              <xm:sqref>BE22</xm:sqref>
            </x14:sparkline>
            <x14:sparkline>
              <xm:f>Feb!AU23:AW23</xm:f>
              <xm:sqref>BE23</xm:sqref>
            </x14:sparkline>
            <x14:sparkline>
              <xm:f>Feb!AU24:AW24</xm:f>
              <xm:sqref>BE24</xm:sqref>
            </x14:sparkline>
            <x14:sparkline>
              <xm:f>Feb!AU25:AW25</xm:f>
              <xm:sqref>BE25</xm:sqref>
            </x14:sparkline>
            <x14:sparkline>
              <xm:f>Feb!AU26:AW26</xm:f>
              <xm:sqref>BE26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0237-F4A0-4440-A2BD-E5547E00B051}">
  <dimension ref="A1:BI32"/>
  <sheetViews>
    <sheetView zoomScaleNormal="100" workbookViewId="0"/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45717</v>
      </c>
      <c r="G4" s="42" t="str">
        <f>TEXT(F4,"MMMM")</f>
        <v>March</v>
      </c>
      <c r="H4" s="44">
        <f>(DATEDIF(F4,J4,"D"))+1</f>
        <v>31</v>
      </c>
      <c r="I4" s="42" t="s">
        <v>26</v>
      </c>
      <c r="J4" s="47">
        <f>EOMONTH(F4,0)</f>
        <v>45747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Sat</v>
      </c>
      <c r="J5" s="13" t="str">
        <f t="shared" ref="J5:AM5" si="0">TEXT(J6,"ddd")</f>
        <v>Sun</v>
      </c>
      <c r="K5" s="13" t="str">
        <f t="shared" si="0"/>
        <v>Mon</v>
      </c>
      <c r="L5" s="13" t="str">
        <f t="shared" si="0"/>
        <v>Tue</v>
      </c>
      <c r="M5" s="13" t="str">
        <f t="shared" si="0"/>
        <v>Wed</v>
      </c>
      <c r="N5" s="13" t="str">
        <f t="shared" si="0"/>
        <v>Thu</v>
      </c>
      <c r="O5" s="13" t="str">
        <f t="shared" si="0"/>
        <v>Fri</v>
      </c>
      <c r="P5" s="13" t="str">
        <f t="shared" si="0"/>
        <v>Sat</v>
      </c>
      <c r="Q5" s="13" t="str">
        <f t="shared" si="0"/>
        <v>Sun</v>
      </c>
      <c r="R5" s="13" t="str">
        <f t="shared" si="0"/>
        <v>Mon</v>
      </c>
      <c r="S5" s="13" t="str">
        <f t="shared" si="0"/>
        <v>Tue</v>
      </c>
      <c r="T5" s="13" t="str">
        <f t="shared" si="0"/>
        <v>Wed</v>
      </c>
      <c r="U5" s="13" t="str">
        <f t="shared" si="0"/>
        <v>Thu</v>
      </c>
      <c r="V5" s="13" t="str">
        <f t="shared" si="0"/>
        <v>Fri</v>
      </c>
      <c r="W5" s="13" t="str">
        <f t="shared" si="0"/>
        <v>Sat</v>
      </c>
      <c r="X5" s="13" t="str">
        <f t="shared" si="0"/>
        <v>Sun</v>
      </c>
      <c r="Y5" s="13" t="str">
        <f t="shared" si="0"/>
        <v>Mon</v>
      </c>
      <c r="Z5" s="13" t="str">
        <f t="shared" si="0"/>
        <v>Tue</v>
      </c>
      <c r="AA5" s="13" t="str">
        <f t="shared" si="0"/>
        <v>Wed</v>
      </c>
      <c r="AB5" s="13" t="str">
        <f t="shared" si="0"/>
        <v>Thu</v>
      </c>
      <c r="AC5" s="13" t="str">
        <f t="shared" si="0"/>
        <v>Fri</v>
      </c>
      <c r="AD5" s="13" t="str">
        <f t="shared" si="0"/>
        <v>Sat</v>
      </c>
      <c r="AE5" s="13" t="str">
        <f t="shared" si="0"/>
        <v>Sun</v>
      </c>
      <c r="AF5" s="13" t="str">
        <f t="shared" si="0"/>
        <v>Mon</v>
      </c>
      <c r="AG5" s="13" t="str">
        <f t="shared" si="0"/>
        <v>Tue</v>
      </c>
      <c r="AH5" s="13" t="str">
        <f t="shared" si="0"/>
        <v>Wed</v>
      </c>
      <c r="AI5" s="13" t="str">
        <f t="shared" si="0"/>
        <v>Thu</v>
      </c>
      <c r="AJ5" s="13" t="str">
        <f t="shared" si="0"/>
        <v>Fri</v>
      </c>
      <c r="AK5" s="13" t="str">
        <f t="shared" si="0"/>
        <v>Sat</v>
      </c>
      <c r="AL5" s="13" t="str">
        <f t="shared" si="0"/>
        <v>Sun</v>
      </c>
      <c r="AM5" s="14" t="str">
        <f t="shared" si="0"/>
        <v>Mon</v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45717</v>
      </c>
      <c r="J6" s="34">
        <f>IF(I6&lt;$J$4,I6+1,"")</f>
        <v>45718</v>
      </c>
      <c r="K6" s="34">
        <f t="shared" ref="K6:AM6" si="1">IF(J6&lt;$J$4,J6+1,"")</f>
        <v>45719</v>
      </c>
      <c r="L6" s="34">
        <f t="shared" si="1"/>
        <v>45720</v>
      </c>
      <c r="M6" s="34">
        <f t="shared" si="1"/>
        <v>45721</v>
      </c>
      <c r="N6" s="34">
        <f t="shared" si="1"/>
        <v>45722</v>
      </c>
      <c r="O6" s="34">
        <f t="shared" si="1"/>
        <v>45723</v>
      </c>
      <c r="P6" s="34">
        <f t="shared" si="1"/>
        <v>45724</v>
      </c>
      <c r="Q6" s="34">
        <f t="shared" si="1"/>
        <v>45725</v>
      </c>
      <c r="R6" s="34">
        <f t="shared" si="1"/>
        <v>45726</v>
      </c>
      <c r="S6" s="34">
        <f t="shared" si="1"/>
        <v>45727</v>
      </c>
      <c r="T6" s="34">
        <f t="shared" si="1"/>
        <v>45728</v>
      </c>
      <c r="U6" s="34">
        <f t="shared" si="1"/>
        <v>45729</v>
      </c>
      <c r="V6" s="34">
        <f t="shared" si="1"/>
        <v>45730</v>
      </c>
      <c r="W6" s="34">
        <f t="shared" si="1"/>
        <v>45731</v>
      </c>
      <c r="X6" s="34">
        <f t="shared" si="1"/>
        <v>45732</v>
      </c>
      <c r="Y6" s="34">
        <f t="shared" si="1"/>
        <v>45733</v>
      </c>
      <c r="Z6" s="34">
        <f t="shared" si="1"/>
        <v>45734</v>
      </c>
      <c r="AA6" s="34">
        <f t="shared" si="1"/>
        <v>45735</v>
      </c>
      <c r="AB6" s="34">
        <f t="shared" si="1"/>
        <v>45736</v>
      </c>
      <c r="AC6" s="34">
        <f t="shared" si="1"/>
        <v>45737</v>
      </c>
      <c r="AD6" s="34">
        <f t="shared" si="1"/>
        <v>45738</v>
      </c>
      <c r="AE6" s="34">
        <f t="shared" si="1"/>
        <v>45739</v>
      </c>
      <c r="AF6" s="34">
        <f t="shared" si="1"/>
        <v>45740</v>
      </c>
      <c r="AG6" s="34">
        <f t="shared" si="1"/>
        <v>45741</v>
      </c>
      <c r="AH6" s="34">
        <f t="shared" si="1"/>
        <v>45742</v>
      </c>
      <c r="AI6" s="34">
        <f t="shared" si="1"/>
        <v>45743</v>
      </c>
      <c r="AJ6" s="34">
        <f t="shared" si="1"/>
        <v>45744</v>
      </c>
      <c r="AK6" s="34">
        <f t="shared" si="1"/>
        <v>45745</v>
      </c>
      <c r="AL6" s="34">
        <f t="shared" si="1"/>
        <v>45746</v>
      </c>
      <c r="AM6" s="36">
        <f t="shared" si="1"/>
        <v>45747</v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5</v>
      </c>
      <c r="I7" s="15" t="s">
        <v>41</v>
      </c>
      <c r="J7" s="15" t="str">
        <f t="shared" ref="J7:X22" si="3">IF(J$5="Sun","WO","")</f>
        <v>WO</v>
      </c>
      <c r="K7" s="15" t="s">
        <v>41</v>
      </c>
      <c r="L7" s="15" t="s">
        <v>41</v>
      </c>
      <c r="M7" s="15" t="s">
        <v>41</v>
      </c>
      <c r="N7" s="15" t="s">
        <v>41</v>
      </c>
      <c r="O7" s="15" t="s">
        <v>41</v>
      </c>
      <c r="P7" s="15" t="s">
        <v>41</v>
      </c>
      <c r="Q7" s="15" t="str">
        <f t="shared" si="3"/>
        <v>WO</v>
      </c>
      <c r="R7" s="15" t="s">
        <v>41</v>
      </c>
      <c r="S7" s="15" t="s">
        <v>41</v>
      </c>
      <c r="T7" s="15" t="s">
        <v>41</v>
      </c>
      <c r="U7" s="15" t="s">
        <v>41</v>
      </c>
      <c r="V7" s="15" t="s">
        <v>41</v>
      </c>
      <c r="W7" s="15" t="s">
        <v>41</v>
      </c>
      <c r="X7" s="15" t="str">
        <f t="shared" si="3"/>
        <v>WO</v>
      </c>
      <c r="Y7" s="15" t="s">
        <v>41</v>
      </c>
      <c r="Z7" s="15" t="s">
        <v>41</v>
      </c>
      <c r="AA7" s="15" t="s">
        <v>41</v>
      </c>
      <c r="AB7" s="15" t="s">
        <v>41</v>
      </c>
      <c r="AC7" s="15" t="s">
        <v>41</v>
      </c>
      <c r="AD7" s="15" t="s">
        <v>41</v>
      </c>
      <c r="AE7" s="15" t="str">
        <f t="shared" ref="AE7:AL22" si="4">IF(AE$5="Sun","WO","")</f>
        <v>WO</v>
      </c>
      <c r="AF7" s="15" t="s">
        <v>41</v>
      </c>
      <c r="AG7" s="15" t="s">
        <v>41</v>
      </c>
      <c r="AH7" s="15" t="s">
        <v>41</v>
      </c>
      <c r="AI7" s="15" t="s">
        <v>41</v>
      </c>
      <c r="AJ7" s="15" t="s">
        <v>41</v>
      </c>
      <c r="AK7" s="15" t="s">
        <v>41</v>
      </c>
      <c r="AL7" s="15" t="str">
        <f t="shared" si="4"/>
        <v>WO</v>
      </c>
      <c r="AM7" s="16" t="s">
        <v>41</v>
      </c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March</v>
      </c>
      <c r="AT7" s="7">
        <v>10001</v>
      </c>
      <c r="AU7" s="21">
        <f t="shared" ref="AU7:AU26" si="6">COUNTIF($I7:$AM7,"P")</f>
        <v>26</v>
      </c>
      <c r="AV7" s="21">
        <f t="shared" ref="AV7:AV26" si="7">COUNTIF($I7:$AM7,"A")</f>
        <v>0</v>
      </c>
      <c r="AW7" s="21">
        <f t="shared" ref="AW7:AW26" si="8">COUNTIF($I7:$AM7,"L")</f>
        <v>0</v>
      </c>
      <c r="AX7" s="21">
        <f t="shared" ref="AX7:AX26" si="9">$H$7</f>
        <v>5</v>
      </c>
      <c r="AY7" s="22">
        <f t="shared" ref="AY7:AY26" si="10">$H$4</f>
        <v>31</v>
      </c>
      <c r="AZ7" s="22">
        <f>JanReport15[[#This Row],[Days]]-JanReport15[[#This Row],[Abesent]]</f>
        <v>31</v>
      </c>
      <c r="BA7" s="23">
        <v>10000</v>
      </c>
      <c r="BB7" s="24">
        <f>JanReport15[[#This Row],[Salary]]/JanReport15[[#This Row],[Days]]</f>
        <v>322.58064516129031</v>
      </c>
      <c r="BC7" s="24">
        <f>JanReport15[[#This Row],[PerDaySalary]]*JanReport15[[#This Row],[Abesent]]</f>
        <v>0</v>
      </c>
      <c r="BD7" s="24">
        <f>JanReport15[[#This Row],[Salary]]-JanReport15[[#This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5</v>
      </c>
      <c r="I8" s="15" t="s">
        <v>41</v>
      </c>
      <c r="J8" s="15" t="str">
        <f t="shared" si="3"/>
        <v>WO</v>
      </c>
      <c r="K8" s="15" t="s">
        <v>41</v>
      </c>
      <c r="L8" s="15" t="s">
        <v>41</v>
      </c>
      <c r="M8" s="15" t="s">
        <v>41</v>
      </c>
      <c r="N8" s="15" t="s">
        <v>41</v>
      </c>
      <c r="O8" s="15" t="s">
        <v>41</v>
      </c>
      <c r="P8" s="15" t="s">
        <v>41</v>
      </c>
      <c r="Q8" s="15" t="str">
        <f t="shared" si="3"/>
        <v>WO</v>
      </c>
      <c r="R8" s="15" t="s">
        <v>41</v>
      </c>
      <c r="S8" s="15" t="s">
        <v>41</v>
      </c>
      <c r="T8" s="15" t="s">
        <v>41</v>
      </c>
      <c r="U8" s="15" t="s">
        <v>41</v>
      </c>
      <c r="V8" s="15" t="s">
        <v>41</v>
      </c>
      <c r="W8" s="15" t="s">
        <v>41</v>
      </c>
      <c r="X8" s="15" t="str">
        <f t="shared" si="3"/>
        <v>WO</v>
      </c>
      <c r="Y8" s="15" t="s">
        <v>41</v>
      </c>
      <c r="Z8" s="15" t="s">
        <v>41</v>
      </c>
      <c r="AA8" s="15" t="s">
        <v>41</v>
      </c>
      <c r="AB8" s="15" t="s">
        <v>41</v>
      </c>
      <c r="AC8" s="15" t="s">
        <v>41</v>
      </c>
      <c r="AD8" s="15" t="s">
        <v>41</v>
      </c>
      <c r="AE8" s="15" t="str">
        <f t="shared" si="4"/>
        <v>WO</v>
      </c>
      <c r="AF8" s="15" t="s">
        <v>41</v>
      </c>
      <c r="AG8" s="15" t="s">
        <v>41</v>
      </c>
      <c r="AH8" s="15" t="s">
        <v>41</v>
      </c>
      <c r="AI8" s="15" t="s">
        <v>41</v>
      </c>
      <c r="AJ8" s="15" t="s">
        <v>41</v>
      </c>
      <c r="AK8" s="15" t="s">
        <v>41</v>
      </c>
      <c r="AL8" s="15" t="str">
        <f t="shared" si="4"/>
        <v>WO</v>
      </c>
      <c r="AM8" s="16" t="s">
        <v>41</v>
      </c>
      <c r="AN8" s="41"/>
      <c r="AO8" s="41"/>
      <c r="AP8" s="31"/>
      <c r="AQ8" s="9">
        <v>2</v>
      </c>
      <c r="AR8" s="9" t="s">
        <v>4</v>
      </c>
      <c r="AS8" s="9" t="str">
        <f t="shared" si="5"/>
        <v>March</v>
      </c>
      <c r="AT8" s="10">
        <v>10002</v>
      </c>
      <c r="AU8" s="15">
        <f t="shared" si="6"/>
        <v>26</v>
      </c>
      <c r="AV8" s="15">
        <f t="shared" si="7"/>
        <v>0</v>
      </c>
      <c r="AW8" s="15">
        <f t="shared" si="8"/>
        <v>0</v>
      </c>
      <c r="AX8" s="15">
        <f t="shared" si="9"/>
        <v>5</v>
      </c>
      <c r="AY8" s="25">
        <f t="shared" si="10"/>
        <v>31</v>
      </c>
      <c r="AZ8" s="25">
        <f>JanReport15[[#This Row],[Days]]-JanReport15[[#This Row],[Abesent]]</f>
        <v>31</v>
      </c>
      <c r="BA8" s="26">
        <v>15000</v>
      </c>
      <c r="BB8" s="27">
        <f>JanReport15[[#This Row],[Salary]]/JanReport15[[#This Row],[Days]]</f>
        <v>483.87096774193549</v>
      </c>
      <c r="BC8" s="27">
        <f>JanReport15[[#This Row],[PerDaySalary]]*JanReport15[[#This Row],[Abesent]]</f>
        <v>0</v>
      </c>
      <c r="BD8" s="27">
        <f>JanReport15[[#This Row],[Salary]]-JanReport15[[#This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5</v>
      </c>
      <c r="I9" s="15" t="s">
        <v>41</v>
      </c>
      <c r="J9" s="15" t="str">
        <f t="shared" si="3"/>
        <v>WO</v>
      </c>
      <c r="K9" s="15" t="s">
        <v>41</v>
      </c>
      <c r="L9" s="15" t="s">
        <v>41</v>
      </c>
      <c r="M9" s="15" t="s">
        <v>41</v>
      </c>
      <c r="N9" s="15" t="s">
        <v>41</v>
      </c>
      <c r="O9" s="15" t="s">
        <v>41</v>
      </c>
      <c r="P9" s="15" t="s">
        <v>41</v>
      </c>
      <c r="Q9" s="15" t="str">
        <f t="shared" si="3"/>
        <v>WO</v>
      </c>
      <c r="R9" s="15" t="s">
        <v>41</v>
      </c>
      <c r="S9" s="15" t="s">
        <v>41</v>
      </c>
      <c r="T9" s="15" t="s">
        <v>41</v>
      </c>
      <c r="U9" s="15" t="s">
        <v>41</v>
      </c>
      <c r="V9" s="15" t="s">
        <v>41</v>
      </c>
      <c r="W9" s="15" t="s">
        <v>41</v>
      </c>
      <c r="X9" s="15" t="str">
        <f t="shared" si="3"/>
        <v>WO</v>
      </c>
      <c r="Y9" s="15" t="s">
        <v>41</v>
      </c>
      <c r="Z9" s="15" t="s">
        <v>41</v>
      </c>
      <c r="AA9" s="15" t="s">
        <v>41</v>
      </c>
      <c r="AB9" s="15" t="s">
        <v>41</v>
      </c>
      <c r="AC9" s="15" t="s">
        <v>41</v>
      </c>
      <c r="AD9" s="15" t="s">
        <v>41</v>
      </c>
      <c r="AE9" s="15" t="str">
        <f t="shared" si="4"/>
        <v>WO</v>
      </c>
      <c r="AF9" s="15" t="s">
        <v>41</v>
      </c>
      <c r="AG9" s="15" t="s">
        <v>41</v>
      </c>
      <c r="AH9" s="15" t="s">
        <v>41</v>
      </c>
      <c r="AI9" s="15" t="s">
        <v>41</v>
      </c>
      <c r="AJ9" s="15" t="s">
        <v>41</v>
      </c>
      <c r="AK9" s="15" t="s">
        <v>41</v>
      </c>
      <c r="AL9" s="15" t="str">
        <f t="shared" si="4"/>
        <v>WO</v>
      </c>
      <c r="AM9" s="16" t="s">
        <v>41</v>
      </c>
      <c r="AN9" s="41"/>
      <c r="AO9" s="41"/>
      <c r="AP9" s="30"/>
      <c r="AQ9" s="9">
        <v>3</v>
      </c>
      <c r="AR9" s="9" t="s">
        <v>5</v>
      </c>
      <c r="AS9" s="9" t="str">
        <f t="shared" si="5"/>
        <v>March</v>
      </c>
      <c r="AT9" s="10">
        <v>10003</v>
      </c>
      <c r="AU9" s="15">
        <f t="shared" si="6"/>
        <v>26</v>
      </c>
      <c r="AV9" s="15">
        <f t="shared" si="7"/>
        <v>0</v>
      </c>
      <c r="AW9" s="15">
        <f t="shared" si="8"/>
        <v>0</v>
      </c>
      <c r="AX9" s="15">
        <f t="shared" si="9"/>
        <v>5</v>
      </c>
      <c r="AY9" s="25">
        <f t="shared" si="10"/>
        <v>31</v>
      </c>
      <c r="AZ9" s="25">
        <f>JanReport15[[#This Row],[Days]]-JanReport15[[#This Row],[Abesent]]</f>
        <v>31</v>
      </c>
      <c r="BA9" s="26">
        <v>20000</v>
      </c>
      <c r="BB9" s="27">
        <f>JanReport15[[#This Row],[Salary]]/JanReport15[[#This Row],[Days]]</f>
        <v>645.16129032258061</v>
      </c>
      <c r="BC9" s="27">
        <f>JanReport15[[#This Row],[PerDaySalary]]*JanReport15[[#This Row],[Abesent]]</f>
        <v>0</v>
      </c>
      <c r="BD9" s="27">
        <f>JanReport15[[#This Row],[Salary]]-JanReport15[[#This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5</v>
      </c>
      <c r="I10" s="15" t="s">
        <v>41</v>
      </c>
      <c r="J10" s="15" t="str">
        <f t="shared" si="3"/>
        <v>WO</v>
      </c>
      <c r="K10" s="15" t="s">
        <v>41</v>
      </c>
      <c r="L10" s="15" t="s">
        <v>41</v>
      </c>
      <c r="M10" s="15" t="s">
        <v>41</v>
      </c>
      <c r="N10" s="45" t="s">
        <v>43</v>
      </c>
      <c r="O10" s="15" t="s">
        <v>41</v>
      </c>
      <c r="P10" s="15" t="s">
        <v>41</v>
      </c>
      <c r="Q10" s="15" t="str">
        <f t="shared" si="3"/>
        <v>WO</v>
      </c>
      <c r="R10" s="15" t="s">
        <v>41</v>
      </c>
      <c r="S10" s="15" t="s">
        <v>41</v>
      </c>
      <c r="T10" s="15" t="s">
        <v>41</v>
      </c>
      <c r="U10" s="45" t="s">
        <v>43</v>
      </c>
      <c r="V10" s="15" t="s">
        <v>41</v>
      </c>
      <c r="W10" s="15" t="s">
        <v>41</v>
      </c>
      <c r="X10" s="15" t="str">
        <f t="shared" si="3"/>
        <v>WO</v>
      </c>
      <c r="Y10" s="15" t="s">
        <v>41</v>
      </c>
      <c r="Z10" s="15" t="s">
        <v>41</v>
      </c>
      <c r="AA10" s="15" t="s">
        <v>41</v>
      </c>
      <c r="AB10" s="45" t="s">
        <v>43</v>
      </c>
      <c r="AC10" s="15" t="s">
        <v>41</v>
      </c>
      <c r="AD10" s="15" t="s">
        <v>41</v>
      </c>
      <c r="AE10" s="15" t="str">
        <f t="shared" si="4"/>
        <v>WO</v>
      </c>
      <c r="AF10" s="15" t="s">
        <v>41</v>
      </c>
      <c r="AG10" s="15" t="s">
        <v>41</v>
      </c>
      <c r="AH10" s="15" t="s">
        <v>41</v>
      </c>
      <c r="AI10" s="45" t="s">
        <v>43</v>
      </c>
      <c r="AJ10" s="15" t="s">
        <v>41</v>
      </c>
      <c r="AK10" s="15" t="s">
        <v>41</v>
      </c>
      <c r="AL10" s="15" t="str">
        <f t="shared" si="4"/>
        <v>WO</v>
      </c>
      <c r="AM10" s="16" t="s">
        <v>41</v>
      </c>
      <c r="AN10" s="41"/>
      <c r="AO10" s="41"/>
      <c r="AP10" s="30"/>
      <c r="AQ10" s="9">
        <v>4</v>
      </c>
      <c r="AR10" s="9" t="s">
        <v>6</v>
      </c>
      <c r="AS10" s="9" t="str">
        <f t="shared" si="5"/>
        <v>March</v>
      </c>
      <c r="AT10" s="10">
        <v>10004</v>
      </c>
      <c r="AU10" s="15">
        <f t="shared" si="6"/>
        <v>22</v>
      </c>
      <c r="AV10" s="15">
        <f t="shared" si="7"/>
        <v>0</v>
      </c>
      <c r="AW10" s="15">
        <f t="shared" si="8"/>
        <v>4</v>
      </c>
      <c r="AX10" s="15">
        <f t="shared" si="9"/>
        <v>5</v>
      </c>
      <c r="AY10" s="25">
        <f t="shared" si="10"/>
        <v>31</v>
      </c>
      <c r="AZ10" s="25">
        <f>JanReport15[[#This Row],[Days]]-JanReport15[[#This Row],[Abesent]]</f>
        <v>31</v>
      </c>
      <c r="BA10" s="26">
        <v>21000</v>
      </c>
      <c r="BB10" s="27">
        <f>JanReport15[[#This Row],[Salary]]/JanReport15[[#This Row],[Days]]</f>
        <v>677.41935483870964</v>
      </c>
      <c r="BC10" s="27">
        <f>JanReport15[[#This Row],[PerDaySalary]]*JanReport15[[#This Row],[Abesent]]</f>
        <v>0</v>
      </c>
      <c r="BD10" s="27">
        <f>JanReport15[[#This Row],[Salary]]-JanReport15[[#This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5</v>
      </c>
      <c r="I11" s="15" t="s">
        <v>41</v>
      </c>
      <c r="J11" s="15" t="str">
        <f t="shared" si="3"/>
        <v>WO</v>
      </c>
      <c r="K11" s="15" t="s">
        <v>41</v>
      </c>
      <c r="L11" s="15" t="s">
        <v>41</v>
      </c>
      <c r="M11" s="15" t="s">
        <v>41</v>
      </c>
      <c r="N11" s="15" t="s">
        <v>41</v>
      </c>
      <c r="O11" s="15" t="s">
        <v>41</v>
      </c>
      <c r="P11" s="15" t="s">
        <v>41</v>
      </c>
      <c r="Q11" s="15" t="str">
        <f t="shared" si="3"/>
        <v>WO</v>
      </c>
      <c r="R11" s="15" t="s">
        <v>41</v>
      </c>
      <c r="S11" s="15" t="s">
        <v>41</v>
      </c>
      <c r="T11" s="15" t="s">
        <v>41</v>
      </c>
      <c r="U11" s="15" t="s">
        <v>41</v>
      </c>
      <c r="V11" s="15" t="s">
        <v>41</v>
      </c>
      <c r="W11" s="15" t="s">
        <v>41</v>
      </c>
      <c r="X11" s="15" t="str">
        <f t="shared" si="3"/>
        <v>WO</v>
      </c>
      <c r="Y11" s="15" t="s">
        <v>41</v>
      </c>
      <c r="Z11" s="15" t="s">
        <v>41</v>
      </c>
      <c r="AA11" s="15" t="s">
        <v>41</v>
      </c>
      <c r="AB11" s="15" t="s">
        <v>41</v>
      </c>
      <c r="AC11" s="15" t="s">
        <v>41</v>
      </c>
      <c r="AD11" s="15" t="s">
        <v>41</v>
      </c>
      <c r="AE11" s="15" t="str">
        <f t="shared" si="4"/>
        <v>WO</v>
      </c>
      <c r="AF11" s="15" t="s">
        <v>41</v>
      </c>
      <c r="AG11" s="15" t="s">
        <v>41</v>
      </c>
      <c r="AH11" s="15" t="s">
        <v>41</v>
      </c>
      <c r="AI11" s="15" t="s">
        <v>41</v>
      </c>
      <c r="AJ11" s="15" t="s">
        <v>41</v>
      </c>
      <c r="AK11" s="15" t="s">
        <v>41</v>
      </c>
      <c r="AL11" s="15" t="str">
        <f t="shared" si="4"/>
        <v>WO</v>
      </c>
      <c r="AM11" s="16" t="s">
        <v>41</v>
      </c>
      <c r="AN11" s="41"/>
      <c r="AO11" s="41"/>
      <c r="AP11" s="30"/>
      <c r="AQ11" s="9">
        <v>5</v>
      </c>
      <c r="AR11" s="9" t="s">
        <v>7</v>
      </c>
      <c r="AS11" s="9" t="str">
        <f t="shared" si="5"/>
        <v>March</v>
      </c>
      <c r="AT11" s="10">
        <v>10005</v>
      </c>
      <c r="AU11" s="15">
        <f t="shared" si="6"/>
        <v>26</v>
      </c>
      <c r="AV11" s="15">
        <f t="shared" si="7"/>
        <v>0</v>
      </c>
      <c r="AW11" s="15">
        <f t="shared" si="8"/>
        <v>0</v>
      </c>
      <c r="AX11" s="15">
        <f t="shared" si="9"/>
        <v>5</v>
      </c>
      <c r="AY11" s="25">
        <f t="shared" si="10"/>
        <v>31</v>
      </c>
      <c r="AZ11" s="25">
        <f>JanReport15[[#This Row],[Days]]-JanReport15[[#This Row],[Abesent]]</f>
        <v>31</v>
      </c>
      <c r="BA11" s="26">
        <v>18000</v>
      </c>
      <c r="BB11" s="27">
        <f>JanReport15[[#This Row],[Salary]]/JanReport15[[#This Row],[Days]]</f>
        <v>580.64516129032256</v>
      </c>
      <c r="BC11" s="27">
        <f>JanReport15[[#This Row],[PerDaySalary]]*JanReport15[[#This Row],[Abesent]]</f>
        <v>0</v>
      </c>
      <c r="BD11" s="27">
        <f>JanReport15[[#This Row],[Salary]]-JanReport15[[#This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5</v>
      </c>
      <c r="I12" s="15" t="s">
        <v>41</v>
      </c>
      <c r="J12" s="15" t="str">
        <f t="shared" si="3"/>
        <v>WO</v>
      </c>
      <c r="K12" s="15" t="s">
        <v>41</v>
      </c>
      <c r="L12" s="15" t="s">
        <v>41</v>
      </c>
      <c r="M12" s="15" t="s">
        <v>41</v>
      </c>
      <c r="N12" s="15" t="s">
        <v>41</v>
      </c>
      <c r="O12" s="15" t="s">
        <v>41</v>
      </c>
      <c r="P12" s="15" t="s">
        <v>41</v>
      </c>
      <c r="Q12" s="15" t="str">
        <f t="shared" si="3"/>
        <v>WO</v>
      </c>
      <c r="R12" s="15" t="s">
        <v>41</v>
      </c>
      <c r="S12" s="15" t="s">
        <v>41</v>
      </c>
      <c r="T12" s="15" t="s">
        <v>41</v>
      </c>
      <c r="U12" s="15" t="s">
        <v>41</v>
      </c>
      <c r="V12" s="15" t="s">
        <v>41</v>
      </c>
      <c r="W12" s="15" t="s">
        <v>41</v>
      </c>
      <c r="X12" s="15" t="str">
        <f t="shared" si="3"/>
        <v>WO</v>
      </c>
      <c r="Y12" s="15" t="s">
        <v>41</v>
      </c>
      <c r="Z12" s="15" t="s">
        <v>41</v>
      </c>
      <c r="AA12" s="15" t="s">
        <v>41</v>
      </c>
      <c r="AB12" s="15" t="s">
        <v>41</v>
      </c>
      <c r="AC12" s="15" t="s">
        <v>41</v>
      </c>
      <c r="AD12" s="15" t="s">
        <v>41</v>
      </c>
      <c r="AE12" s="15" t="str">
        <f t="shared" si="4"/>
        <v>WO</v>
      </c>
      <c r="AF12" s="15" t="s">
        <v>41</v>
      </c>
      <c r="AG12" s="15" t="s">
        <v>41</v>
      </c>
      <c r="AH12" s="15" t="s">
        <v>41</v>
      </c>
      <c r="AI12" s="15" t="s">
        <v>41</v>
      </c>
      <c r="AJ12" s="15" t="s">
        <v>41</v>
      </c>
      <c r="AK12" s="15" t="s">
        <v>41</v>
      </c>
      <c r="AL12" s="15" t="str">
        <f t="shared" si="4"/>
        <v>WO</v>
      </c>
      <c r="AM12" s="16" t="s">
        <v>41</v>
      </c>
      <c r="AN12" s="41"/>
      <c r="AO12" s="41"/>
      <c r="AP12" s="30"/>
      <c r="AQ12" s="9">
        <v>6</v>
      </c>
      <c r="AR12" s="9" t="s">
        <v>8</v>
      </c>
      <c r="AS12" s="9" t="str">
        <f t="shared" si="5"/>
        <v>March</v>
      </c>
      <c r="AT12" s="10">
        <v>10006</v>
      </c>
      <c r="AU12" s="15">
        <f t="shared" si="6"/>
        <v>26</v>
      </c>
      <c r="AV12" s="15">
        <f t="shared" si="7"/>
        <v>0</v>
      </c>
      <c r="AW12" s="15">
        <f t="shared" si="8"/>
        <v>0</v>
      </c>
      <c r="AX12" s="15">
        <f t="shared" si="9"/>
        <v>5</v>
      </c>
      <c r="AY12" s="25">
        <f t="shared" si="10"/>
        <v>31</v>
      </c>
      <c r="AZ12" s="25">
        <f>JanReport15[[#This Row],[Days]]-JanReport15[[#This Row],[Abesent]]</f>
        <v>31</v>
      </c>
      <c r="BA12" s="26">
        <v>17000</v>
      </c>
      <c r="BB12" s="27">
        <f>JanReport15[[#This Row],[Salary]]/JanReport15[[#This Row],[Days]]</f>
        <v>548.38709677419354</v>
      </c>
      <c r="BC12" s="27">
        <f>JanReport15[[#This Row],[PerDaySalary]]*JanReport15[[#This Row],[Abesent]]</f>
        <v>0</v>
      </c>
      <c r="BD12" s="27">
        <f>JanReport15[[#This Row],[Salary]]-JanReport15[[#This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5</v>
      </c>
      <c r="I13" s="15" t="s">
        <v>42</v>
      </c>
      <c r="J13" s="15" t="str">
        <f t="shared" si="3"/>
        <v>WO</v>
      </c>
      <c r="K13" s="15" t="s">
        <v>41</v>
      </c>
      <c r="L13" s="15" t="s">
        <v>41</v>
      </c>
      <c r="M13" s="15" t="s">
        <v>42</v>
      </c>
      <c r="N13" s="15" t="s">
        <v>41</v>
      </c>
      <c r="O13" s="15" t="s">
        <v>41</v>
      </c>
      <c r="P13" s="15" t="s">
        <v>41</v>
      </c>
      <c r="Q13" s="15" t="str">
        <f t="shared" si="3"/>
        <v>WO</v>
      </c>
      <c r="R13" s="15" t="s">
        <v>41</v>
      </c>
      <c r="S13" s="15" t="s">
        <v>41</v>
      </c>
      <c r="T13" s="15" t="s">
        <v>42</v>
      </c>
      <c r="U13" s="15" t="s">
        <v>41</v>
      </c>
      <c r="V13" s="15" t="s">
        <v>41</v>
      </c>
      <c r="W13" s="15" t="s">
        <v>41</v>
      </c>
      <c r="X13" s="15" t="str">
        <f t="shared" si="3"/>
        <v>WO</v>
      </c>
      <c r="Y13" s="15" t="s">
        <v>41</v>
      </c>
      <c r="Z13" s="15" t="s">
        <v>41</v>
      </c>
      <c r="AA13" s="15" t="s">
        <v>42</v>
      </c>
      <c r="AB13" s="15" t="s">
        <v>41</v>
      </c>
      <c r="AC13" s="15" t="s">
        <v>41</v>
      </c>
      <c r="AD13" s="15" t="s">
        <v>41</v>
      </c>
      <c r="AE13" s="15" t="str">
        <f t="shared" si="4"/>
        <v>WO</v>
      </c>
      <c r="AF13" s="15" t="s">
        <v>41</v>
      </c>
      <c r="AG13" s="15" t="s">
        <v>41</v>
      </c>
      <c r="AH13" s="15" t="s">
        <v>42</v>
      </c>
      <c r="AI13" s="15" t="s">
        <v>41</v>
      </c>
      <c r="AJ13" s="15" t="s">
        <v>41</v>
      </c>
      <c r="AK13" s="15" t="s">
        <v>41</v>
      </c>
      <c r="AL13" s="15" t="str">
        <f t="shared" si="4"/>
        <v>WO</v>
      </c>
      <c r="AM13" s="16" t="s">
        <v>42</v>
      </c>
      <c r="AN13" s="41"/>
      <c r="AO13" s="41"/>
      <c r="AP13" s="30"/>
      <c r="AQ13" s="9">
        <v>7</v>
      </c>
      <c r="AR13" s="9" t="s">
        <v>9</v>
      </c>
      <c r="AS13" s="9" t="str">
        <f t="shared" si="5"/>
        <v>March</v>
      </c>
      <c r="AT13" s="10">
        <v>10007</v>
      </c>
      <c r="AU13" s="15">
        <f t="shared" si="6"/>
        <v>20</v>
      </c>
      <c r="AV13" s="15">
        <f t="shared" si="7"/>
        <v>6</v>
      </c>
      <c r="AW13" s="15">
        <f t="shared" si="8"/>
        <v>0</v>
      </c>
      <c r="AX13" s="15">
        <f t="shared" si="9"/>
        <v>5</v>
      </c>
      <c r="AY13" s="25">
        <f t="shared" si="10"/>
        <v>31</v>
      </c>
      <c r="AZ13" s="25">
        <f>JanReport15[[#This Row],[Days]]-JanReport15[[#This Row],[Abesent]]</f>
        <v>25</v>
      </c>
      <c r="BA13" s="26">
        <v>15000</v>
      </c>
      <c r="BB13" s="27">
        <f>JanReport15[[#This Row],[Salary]]/JanReport15[[#This Row],[Days]]</f>
        <v>483.87096774193549</v>
      </c>
      <c r="BC13" s="27">
        <f>JanReport15[[#This Row],[PerDaySalary]]*JanReport15[[#This Row],[Abesent]]</f>
        <v>2903.2258064516127</v>
      </c>
      <c r="BD13" s="27">
        <f>JanReport15[[#This Row],[Salary]]-JanReport15[[#This Row],[Deduction]]</f>
        <v>12096.774193548386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5</v>
      </c>
      <c r="I14" s="15" t="s">
        <v>41</v>
      </c>
      <c r="J14" s="15" t="str">
        <f t="shared" si="3"/>
        <v>WO</v>
      </c>
      <c r="K14" s="15" t="s">
        <v>41</v>
      </c>
      <c r="L14" s="15" t="s">
        <v>41</v>
      </c>
      <c r="M14" s="15" t="s">
        <v>41</v>
      </c>
      <c r="N14" s="15" t="s">
        <v>41</v>
      </c>
      <c r="O14" s="15" t="s">
        <v>41</v>
      </c>
      <c r="P14" s="15" t="s">
        <v>41</v>
      </c>
      <c r="Q14" s="15" t="str">
        <f t="shared" si="3"/>
        <v>WO</v>
      </c>
      <c r="R14" s="15" t="s">
        <v>41</v>
      </c>
      <c r="S14" s="15" t="s">
        <v>41</v>
      </c>
      <c r="T14" s="15" t="s">
        <v>41</v>
      </c>
      <c r="U14" s="15" t="s">
        <v>41</v>
      </c>
      <c r="V14" s="15" t="s">
        <v>41</v>
      </c>
      <c r="W14" s="15" t="s">
        <v>41</v>
      </c>
      <c r="X14" s="15" t="str">
        <f t="shared" si="3"/>
        <v>WO</v>
      </c>
      <c r="Y14" s="15" t="s">
        <v>41</v>
      </c>
      <c r="Z14" s="15" t="s">
        <v>41</v>
      </c>
      <c r="AA14" s="15" t="s">
        <v>41</v>
      </c>
      <c r="AB14" s="15" t="s">
        <v>41</v>
      </c>
      <c r="AC14" s="15" t="s">
        <v>41</v>
      </c>
      <c r="AD14" s="15" t="s">
        <v>41</v>
      </c>
      <c r="AE14" s="15" t="str">
        <f t="shared" si="4"/>
        <v>WO</v>
      </c>
      <c r="AF14" s="15" t="s">
        <v>41</v>
      </c>
      <c r="AG14" s="15" t="s">
        <v>41</v>
      </c>
      <c r="AH14" s="15" t="s">
        <v>41</v>
      </c>
      <c r="AI14" s="15" t="s">
        <v>41</v>
      </c>
      <c r="AJ14" s="15" t="s">
        <v>41</v>
      </c>
      <c r="AK14" s="15" t="s">
        <v>41</v>
      </c>
      <c r="AL14" s="15" t="str">
        <f t="shared" si="4"/>
        <v>WO</v>
      </c>
      <c r="AM14" s="16" t="s">
        <v>41</v>
      </c>
      <c r="AN14" s="41"/>
      <c r="AO14" s="41"/>
      <c r="AP14" s="30"/>
      <c r="AQ14" s="9">
        <v>8</v>
      </c>
      <c r="AR14" s="9" t="s">
        <v>10</v>
      </c>
      <c r="AS14" s="9" t="str">
        <f t="shared" si="5"/>
        <v>March</v>
      </c>
      <c r="AT14" s="10">
        <v>10008</v>
      </c>
      <c r="AU14" s="15">
        <f t="shared" si="6"/>
        <v>26</v>
      </c>
      <c r="AV14" s="15">
        <f t="shared" si="7"/>
        <v>0</v>
      </c>
      <c r="AW14" s="15">
        <f t="shared" si="8"/>
        <v>0</v>
      </c>
      <c r="AX14" s="15">
        <f t="shared" si="9"/>
        <v>5</v>
      </c>
      <c r="AY14" s="25">
        <f t="shared" si="10"/>
        <v>31</v>
      </c>
      <c r="AZ14" s="25">
        <f>JanReport15[[#This Row],[Days]]-JanReport15[[#This Row],[Abesent]]</f>
        <v>31</v>
      </c>
      <c r="BA14" s="26">
        <v>21000</v>
      </c>
      <c r="BB14" s="27">
        <f>JanReport15[[#This Row],[Salary]]/JanReport15[[#This Row],[Days]]</f>
        <v>677.41935483870964</v>
      </c>
      <c r="BC14" s="27">
        <f>JanReport15[[#This Row],[PerDaySalary]]*JanReport15[[#This Row],[Abesent]]</f>
        <v>0</v>
      </c>
      <c r="BD14" s="27">
        <f>JanReport15[[#This Row],[Salary]]-JanReport15[[#This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5</v>
      </c>
      <c r="I15" s="15" t="s">
        <v>41</v>
      </c>
      <c r="J15" s="15" t="str">
        <f t="shared" si="3"/>
        <v>WO</v>
      </c>
      <c r="K15" s="15" t="s">
        <v>41</v>
      </c>
      <c r="L15" s="15" t="s">
        <v>41</v>
      </c>
      <c r="M15" s="15" t="s">
        <v>41</v>
      </c>
      <c r="N15" s="15" t="s">
        <v>41</v>
      </c>
      <c r="O15" s="15" t="s">
        <v>41</v>
      </c>
      <c r="P15" s="15" t="s">
        <v>41</v>
      </c>
      <c r="Q15" s="15" t="str">
        <f t="shared" si="3"/>
        <v>WO</v>
      </c>
      <c r="R15" s="15" t="s">
        <v>41</v>
      </c>
      <c r="S15" s="15" t="s">
        <v>41</v>
      </c>
      <c r="T15" s="15" t="s">
        <v>41</v>
      </c>
      <c r="U15" s="15" t="s">
        <v>41</v>
      </c>
      <c r="V15" s="15" t="s">
        <v>41</v>
      </c>
      <c r="W15" s="15" t="s">
        <v>41</v>
      </c>
      <c r="X15" s="15" t="str">
        <f t="shared" si="3"/>
        <v>WO</v>
      </c>
      <c r="Y15" s="15" t="s">
        <v>41</v>
      </c>
      <c r="Z15" s="15" t="s">
        <v>41</v>
      </c>
      <c r="AA15" s="15" t="s">
        <v>41</v>
      </c>
      <c r="AB15" s="15" t="s">
        <v>41</v>
      </c>
      <c r="AC15" s="15" t="s">
        <v>41</v>
      </c>
      <c r="AD15" s="15" t="s">
        <v>41</v>
      </c>
      <c r="AE15" s="15" t="str">
        <f t="shared" si="4"/>
        <v>WO</v>
      </c>
      <c r="AF15" s="15" t="s">
        <v>41</v>
      </c>
      <c r="AG15" s="15" t="s">
        <v>41</v>
      </c>
      <c r="AH15" s="15" t="s">
        <v>41</v>
      </c>
      <c r="AI15" s="15" t="s">
        <v>41</v>
      </c>
      <c r="AJ15" s="15" t="s">
        <v>41</v>
      </c>
      <c r="AK15" s="15" t="s">
        <v>41</v>
      </c>
      <c r="AL15" s="15" t="str">
        <f t="shared" si="4"/>
        <v>WO</v>
      </c>
      <c r="AM15" s="16" t="s">
        <v>41</v>
      </c>
      <c r="AN15" s="41"/>
      <c r="AO15" s="41"/>
      <c r="AP15" s="30"/>
      <c r="AQ15" s="9">
        <v>9</v>
      </c>
      <c r="AR15" s="9" t="s">
        <v>11</v>
      </c>
      <c r="AS15" s="9" t="str">
        <f t="shared" si="5"/>
        <v>March</v>
      </c>
      <c r="AT15" s="10">
        <v>10009</v>
      </c>
      <c r="AU15" s="15">
        <f t="shared" si="6"/>
        <v>26</v>
      </c>
      <c r="AV15" s="15">
        <f t="shared" si="7"/>
        <v>0</v>
      </c>
      <c r="AW15" s="15">
        <f t="shared" si="8"/>
        <v>0</v>
      </c>
      <c r="AX15" s="15">
        <f t="shared" si="9"/>
        <v>5</v>
      </c>
      <c r="AY15" s="25">
        <f t="shared" si="10"/>
        <v>31</v>
      </c>
      <c r="AZ15" s="25">
        <f>JanReport15[[#This Row],[Days]]-JanReport15[[#This Row],[Abesent]]</f>
        <v>31</v>
      </c>
      <c r="BA15" s="26">
        <v>22000</v>
      </c>
      <c r="BB15" s="27">
        <f>JanReport15[[#This Row],[Salary]]/JanReport15[[#This Row],[Days]]</f>
        <v>709.67741935483866</v>
      </c>
      <c r="BC15" s="27">
        <f>JanReport15[[#This Row],[PerDaySalary]]*JanReport15[[#This Row],[Abesent]]</f>
        <v>0</v>
      </c>
      <c r="BD15" s="27">
        <f>JanReport15[[#This Row],[Salary]]-JanReport15[[#This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5</v>
      </c>
      <c r="I16" s="15" t="s">
        <v>41</v>
      </c>
      <c r="J16" s="15" t="str">
        <f t="shared" si="3"/>
        <v>WO</v>
      </c>
      <c r="K16" s="15" t="s">
        <v>41</v>
      </c>
      <c r="L16" s="15" t="s">
        <v>41</v>
      </c>
      <c r="M16" s="15" t="s">
        <v>41</v>
      </c>
      <c r="N16" s="15" t="s">
        <v>41</v>
      </c>
      <c r="O16" s="15" t="s">
        <v>41</v>
      </c>
      <c r="P16" s="15" t="s">
        <v>41</v>
      </c>
      <c r="Q16" s="15" t="str">
        <f t="shared" si="3"/>
        <v>WO</v>
      </c>
      <c r="R16" s="15" t="s">
        <v>41</v>
      </c>
      <c r="S16" s="15" t="s">
        <v>41</v>
      </c>
      <c r="T16" s="15" t="s">
        <v>41</v>
      </c>
      <c r="U16" s="15" t="s">
        <v>41</v>
      </c>
      <c r="V16" s="15" t="s">
        <v>41</v>
      </c>
      <c r="W16" s="15" t="s">
        <v>41</v>
      </c>
      <c r="X16" s="15" t="str">
        <f t="shared" si="3"/>
        <v>WO</v>
      </c>
      <c r="Y16" s="15" t="s">
        <v>41</v>
      </c>
      <c r="Z16" s="15" t="s">
        <v>41</v>
      </c>
      <c r="AA16" s="15" t="s">
        <v>41</v>
      </c>
      <c r="AB16" s="15" t="s">
        <v>41</v>
      </c>
      <c r="AC16" s="15" t="s">
        <v>41</v>
      </c>
      <c r="AD16" s="15" t="s">
        <v>41</v>
      </c>
      <c r="AE16" s="15" t="str">
        <f t="shared" si="4"/>
        <v>WO</v>
      </c>
      <c r="AF16" s="15" t="s">
        <v>41</v>
      </c>
      <c r="AG16" s="15" t="s">
        <v>41</v>
      </c>
      <c r="AH16" s="15" t="s">
        <v>41</v>
      </c>
      <c r="AI16" s="15" t="s">
        <v>41</v>
      </c>
      <c r="AJ16" s="15" t="s">
        <v>41</v>
      </c>
      <c r="AK16" s="15" t="s">
        <v>41</v>
      </c>
      <c r="AL16" s="15" t="str">
        <f t="shared" si="4"/>
        <v>WO</v>
      </c>
      <c r="AM16" s="16" t="s">
        <v>41</v>
      </c>
      <c r="AN16" s="41"/>
      <c r="AO16" s="41"/>
      <c r="AP16" s="30"/>
      <c r="AQ16" s="9">
        <v>10</v>
      </c>
      <c r="AR16" s="9" t="s">
        <v>12</v>
      </c>
      <c r="AS16" s="9" t="str">
        <f t="shared" si="5"/>
        <v>March</v>
      </c>
      <c r="AT16" s="10">
        <v>10010</v>
      </c>
      <c r="AU16" s="15">
        <f t="shared" si="6"/>
        <v>26</v>
      </c>
      <c r="AV16" s="15">
        <f t="shared" si="7"/>
        <v>0</v>
      </c>
      <c r="AW16" s="15">
        <f t="shared" si="8"/>
        <v>0</v>
      </c>
      <c r="AX16" s="15">
        <f t="shared" si="9"/>
        <v>5</v>
      </c>
      <c r="AY16" s="25">
        <f t="shared" si="10"/>
        <v>31</v>
      </c>
      <c r="AZ16" s="25">
        <f>JanReport15[[#This Row],[Days]]-JanReport15[[#This Row],[Abesent]]</f>
        <v>31</v>
      </c>
      <c r="BA16" s="26">
        <v>25000</v>
      </c>
      <c r="BB16" s="27">
        <f>JanReport15[[#This Row],[Salary]]/JanReport15[[#This Row],[Days]]</f>
        <v>806.45161290322585</v>
      </c>
      <c r="BC16" s="27">
        <f>JanReport15[[#This Row],[PerDaySalary]]*JanReport15[[#This Row],[Abesent]]</f>
        <v>0</v>
      </c>
      <c r="BD16" s="27">
        <f>JanReport15[[#This Row],[Salary]]-JanReport15[[#This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5</v>
      </c>
      <c r="I17" s="15" t="s">
        <v>41</v>
      </c>
      <c r="J17" s="15" t="str">
        <f t="shared" si="3"/>
        <v>WO</v>
      </c>
      <c r="K17" s="15" t="s">
        <v>41</v>
      </c>
      <c r="L17" s="15" t="s">
        <v>41</v>
      </c>
      <c r="M17" s="15" t="s">
        <v>41</v>
      </c>
      <c r="N17" s="15" t="s">
        <v>41</v>
      </c>
      <c r="O17" s="15" t="s">
        <v>41</v>
      </c>
      <c r="P17" s="15" t="s">
        <v>42</v>
      </c>
      <c r="Q17" s="15" t="str">
        <f t="shared" si="3"/>
        <v>WO</v>
      </c>
      <c r="R17" s="15" t="s">
        <v>41</v>
      </c>
      <c r="S17" s="15" t="s">
        <v>41</v>
      </c>
      <c r="T17" s="15" t="s">
        <v>41</v>
      </c>
      <c r="U17" s="15" t="s">
        <v>41</v>
      </c>
      <c r="V17" s="15" t="s">
        <v>41</v>
      </c>
      <c r="W17" s="15" t="s">
        <v>42</v>
      </c>
      <c r="X17" s="15" t="str">
        <f t="shared" si="3"/>
        <v>WO</v>
      </c>
      <c r="Y17" s="15" t="s">
        <v>41</v>
      </c>
      <c r="Z17" s="15" t="s">
        <v>41</v>
      </c>
      <c r="AA17" s="15" t="s">
        <v>41</v>
      </c>
      <c r="AB17" s="15" t="s">
        <v>41</v>
      </c>
      <c r="AC17" s="15" t="s">
        <v>41</v>
      </c>
      <c r="AD17" s="15" t="s">
        <v>42</v>
      </c>
      <c r="AE17" s="15" t="str">
        <f t="shared" si="4"/>
        <v>WO</v>
      </c>
      <c r="AF17" s="15" t="s">
        <v>41</v>
      </c>
      <c r="AG17" s="15" t="s">
        <v>41</v>
      </c>
      <c r="AH17" s="15" t="s">
        <v>41</v>
      </c>
      <c r="AI17" s="15" t="s">
        <v>41</v>
      </c>
      <c r="AJ17" s="15" t="s">
        <v>41</v>
      </c>
      <c r="AK17" s="15" t="s">
        <v>42</v>
      </c>
      <c r="AL17" s="15" t="str">
        <f t="shared" si="4"/>
        <v>WO</v>
      </c>
      <c r="AM17" s="16" t="s">
        <v>41</v>
      </c>
      <c r="AN17" s="41"/>
      <c r="AO17" s="41"/>
      <c r="AP17" s="30"/>
      <c r="AQ17" s="9">
        <v>11</v>
      </c>
      <c r="AR17" s="9" t="s">
        <v>13</v>
      </c>
      <c r="AS17" s="9" t="str">
        <f t="shared" si="5"/>
        <v>March</v>
      </c>
      <c r="AT17" s="10">
        <v>10011</v>
      </c>
      <c r="AU17" s="15">
        <f t="shared" si="6"/>
        <v>22</v>
      </c>
      <c r="AV17" s="15">
        <f t="shared" si="7"/>
        <v>4</v>
      </c>
      <c r="AW17" s="15">
        <f t="shared" si="8"/>
        <v>0</v>
      </c>
      <c r="AX17" s="15">
        <f t="shared" si="9"/>
        <v>5</v>
      </c>
      <c r="AY17" s="25">
        <f t="shared" si="10"/>
        <v>31</v>
      </c>
      <c r="AZ17" s="25">
        <f>JanReport15[[#This Row],[Days]]-JanReport15[[#This Row],[Abesent]]</f>
        <v>27</v>
      </c>
      <c r="BA17" s="26">
        <v>15000</v>
      </c>
      <c r="BB17" s="27">
        <f>JanReport15[[#This Row],[Salary]]/JanReport15[[#This Row],[Days]]</f>
        <v>483.87096774193549</v>
      </c>
      <c r="BC17" s="27">
        <f>JanReport15[[#This Row],[PerDaySalary]]*JanReport15[[#This Row],[Abesent]]</f>
        <v>1935.483870967742</v>
      </c>
      <c r="BD17" s="27">
        <f>JanReport15[[#This Row],[Salary]]-JanReport15[[#This Row],[Deduction]]</f>
        <v>13064.516129032258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5</v>
      </c>
      <c r="I18" s="15" t="s">
        <v>41</v>
      </c>
      <c r="J18" s="15" t="str">
        <f t="shared" si="3"/>
        <v>WO</v>
      </c>
      <c r="K18" s="15" t="s">
        <v>41</v>
      </c>
      <c r="L18" s="15" t="s">
        <v>41</v>
      </c>
      <c r="M18" s="15" t="s">
        <v>41</v>
      </c>
      <c r="N18" s="15" t="s">
        <v>41</v>
      </c>
      <c r="O18" s="15" t="s">
        <v>41</v>
      </c>
      <c r="P18" s="15" t="s">
        <v>41</v>
      </c>
      <c r="Q18" s="15" t="str">
        <f t="shared" si="3"/>
        <v>WO</v>
      </c>
      <c r="R18" s="15" t="s">
        <v>41</v>
      </c>
      <c r="S18" s="15" t="s">
        <v>41</v>
      </c>
      <c r="T18" s="15" t="s">
        <v>41</v>
      </c>
      <c r="U18" s="15" t="s">
        <v>41</v>
      </c>
      <c r="V18" s="15" t="s">
        <v>41</v>
      </c>
      <c r="W18" s="15" t="s">
        <v>41</v>
      </c>
      <c r="X18" s="15" t="str">
        <f t="shared" si="3"/>
        <v>WO</v>
      </c>
      <c r="Y18" s="15" t="s">
        <v>41</v>
      </c>
      <c r="Z18" s="15" t="s">
        <v>41</v>
      </c>
      <c r="AA18" s="15" t="s">
        <v>41</v>
      </c>
      <c r="AB18" s="15" t="s">
        <v>41</v>
      </c>
      <c r="AC18" s="15" t="s">
        <v>41</v>
      </c>
      <c r="AD18" s="15" t="s">
        <v>41</v>
      </c>
      <c r="AE18" s="15" t="str">
        <f t="shared" si="4"/>
        <v>WO</v>
      </c>
      <c r="AF18" s="15" t="s">
        <v>41</v>
      </c>
      <c r="AG18" s="15" t="s">
        <v>41</v>
      </c>
      <c r="AH18" s="15" t="s">
        <v>41</v>
      </c>
      <c r="AI18" s="15" t="s">
        <v>41</v>
      </c>
      <c r="AJ18" s="15" t="s">
        <v>41</v>
      </c>
      <c r="AK18" s="15" t="s">
        <v>41</v>
      </c>
      <c r="AL18" s="15" t="str">
        <f t="shared" si="4"/>
        <v>WO</v>
      </c>
      <c r="AM18" s="16" t="s">
        <v>41</v>
      </c>
      <c r="AN18" s="41"/>
      <c r="AO18" s="41"/>
      <c r="AP18" s="30"/>
      <c r="AQ18" s="9">
        <v>12</v>
      </c>
      <c r="AR18" s="9" t="s">
        <v>14</v>
      </c>
      <c r="AS18" s="9" t="str">
        <f t="shared" si="5"/>
        <v>March</v>
      </c>
      <c r="AT18" s="10">
        <v>10012</v>
      </c>
      <c r="AU18" s="15">
        <f t="shared" si="6"/>
        <v>26</v>
      </c>
      <c r="AV18" s="15">
        <f t="shared" si="7"/>
        <v>0</v>
      </c>
      <c r="AW18" s="15">
        <f t="shared" si="8"/>
        <v>0</v>
      </c>
      <c r="AX18" s="15">
        <f t="shared" si="9"/>
        <v>5</v>
      </c>
      <c r="AY18" s="25">
        <f t="shared" si="10"/>
        <v>31</v>
      </c>
      <c r="AZ18" s="25">
        <f>JanReport15[[#This Row],[Days]]-JanReport15[[#This Row],[Abesent]]</f>
        <v>31</v>
      </c>
      <c r="BA18" s="26">
        <v>19000</v>
      </c>
      <c r="BB18" s="27">
        <f>JanReport15[[#This Row],[Salary]]/JanReport15[[#This Row],[Days]]</f>
        <v>612.90322580645159</v>
      </c>
      <c r="BC18" s="27">
        <f>JanReport15[[#This Row],[PerDaySalary]]*JanReport15[[#This Row],[Abesent]]</f>
        <v>0</v>
      </c>
      <c r="BD18" s="27">
        <f>JanReport15[[#This Row],[Salary]]-JanReport15[[#This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5</v>
      </c>
      <c r="I19" s="15" t="s">
        <v>41</v>
      </c>
      <c r="J19" s="15" t="str">
        <f t="shared" si="3"/>
        <v>WO</v>
      </c>
      <c r="K19" s="15" t="s">
        <v>41</v>
      </c>
      <c r="L19" s="15" t="s">
        <v>41</v>
      </c>
      <c r="M19" s="15" t="s">
        <v>41</v>
      </c>
      <c r="N19" s="15" t="s">
        <v>41</v>
      </c>
      <c r="O19" s="15" t="s">
        <v>41</v>
      </c>
      <c r="P19" s="15" t="s">
        <v>41</v>
      </c>
      <c r="Q19" s="15" t="str">
        <f t="shared" si="3"/>
        <v>WO</v>
      </c>
      <c r="R19" s="15" t="s">
        <v>41</v>
      </c>
      <c r="S19" s="15" t="s">
        <v>41</v>
      </c>
      <c r="T19" s="15" t="s">
        <v>41</v>
      </c>
      <c r="U19" s="15" t="s">
        <v>41</v>
      </c>
      <c r="V19" s="15" t="s">
        <v>41</v>
      </c>
      <c r="W19" s="15" t="s">
        <v>41</v>
      </c>
      <c r="X19" s="15" t="str">
        <f t="shared" si="3"/>
        <v>WO</v>
      </c>
      <c r="Y19" s="15" t="s">
        <v>41</v>
      </c>
      <c r="Z19" s="15" t="s">
        <v>41</v>
      </c>
      <c r="AA19" s="15" t="s">
        <v>41</v>
      </c>
      <c r="AB19" s="15" t="s">
        <v>41</v>
      </c>
      <c r="AC19" s="15" t="s">
        <v>41</v>
      </c>
      <c r="AD19" s="15" t="s">
        <v>41</v>
      </c>
      <c r="AE19" s="15" t="str">
        <f t="shared" si="4"/>
        <v>WO</v>
      </c>
      <c r="AF19" s="15" t="s">
        <v>41</v>
      </c>
      <c r="AG19" s="15" t="s">
        <v>41</v>
      </c>
      <c r="AH19" s="15" t="s">
        <v>41</v>
      </c>
      <c r="AI19" s="15" t="s">
        <v>41</v>
      </c>
      <c r="AJ19" s="15" t="s">
        <v>41</v>
      </c>
      <c r="AK19" s="15" t="s">
        <v>41</v>
      </c>
      <c r="AL19" s="15" t="str">
        <f t="shared" si="4"/>
        <v>WO</v>
      </c>
      <c r="AM19" s="16" t="s">
        <v>41</v>
      </c>
      <c r="AN19" s="41"/>
      <c r="AO19" s="41"/>
      <c r="AP19" s="30"/>
      <c r="AQ19" s="9">
        <v>13</v>
      </c>
      <c r="AR19" s="9" t="s">
        <v>15</v>
      </c>
      <c r="AS19" s="9" t="str">
        <f t="shared" si="5"/>
        <v>March</v>
      </c>
      <c r="AT19" s="10">
        <v>10013</v>
      </c>
      <c r="AU19" s="15">
        <f t="shared" si="6"/>
        <v>26</v>
      </c>
      <c r="AV19" s="15">
        <f t="shared" si="7"/>
        <v>0</v>
      </c>
      <c r="AW19" s="15">
        <f t="shared" si="8"/>
        <v>0</v>
      </c>
      <c r="AX19" s="15">
        <f t="shared" si="9"/>
        <v>5</v>
      </c>
      <c r="AY19" s="25">
        <f t="shared" si="10"/>
        <v>31</v>
      </c>
      <c r="AZ19" s="25">
        <f>JanReport15[[#This Row],[Days]]-JanReport15[[#This Row],[Abesent]]</f>
        <v>31</v>
      </c>
      <c r="BA19" s="26">
        <v>20000</v>
      </c>
      <c r="BB19" s="27">
        <f>JanReport15[[#This Row],[Salary]]/JanReport15[[#This Row],[Days]]</f>
        <v>645.16129032258061</v>
      </c>
      <c r="BC19" s="27">
        <f>JanReport15[[#This Row],[PerDaySalary]]*JanReport15[[#This Row],[Abesent]]</f>
        <v>0</v>
      </c>
      <c r="BD19" s="27">
        <f>JanReport15[[#This Row],[Salary]]-JanReport15[[#This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5</v>
      </c>
      <c r="I20" s="15" t="s">
        <v>41</v>
      </c>
      <c r="J20" s="15" t="str">
        <f t="shared" si="3"/>
        <v>WO</v>
      </c>
      <c r="K20" s="15" t="s">
        <v>41</v>
      </c>
      <c r="L20" s="15" t="s">
        <v>41</v>
      </c>
      <c r="M20" s="15" t="s">
        <v>41</v>
      </c>
      <c r="N20" s="15" t="s">
        <v>41</v>
      </c>
      <c r="O20" s="15" t="s">
        <v>41</v>
      </c>
      <c r="P20" s="15" t="s">
        <v>41</v>
      </c>
      <c r="Q20" s="15" t="str">
        <f t="shared" si="3"/>
        <v>WO</v>
      </c>
      <c r="R20" s="15" t="s">
        <v>41</v>
      </c>
      <c r="S20" s="15" t="s">
        <v>41</v>
      </c>
      <c r="T20" s="15" t="s">
        <v>41</v>
      </c>
      <c r="U20" s="15" t="s">
        <v>41</v>
      </c>
      <c r="V20" s="15" t="s">
        <v>41</v>
      </c>
      <c r="W20" s="15" t="s">
        <v>41</v>
      </c>
      <c r="X20" s="15" t="str">
        <f t="shared" si="3"/>
        <v>WO</v>
      </c>
      <c r="Y20" s="15" t="s">
        <v>41</v>
      </c>
      <c r="Z20" s="15" t="s">
        <v>41</v>
      </c>
      <c r="AA20" s="15" t="s">
        <v>41</v>
      </c>
      <c r="AB20" s="15" t="s">
        <v>41</v>
      </c>
      <c r="AC20" s="15" t="s">
        <v>41</v>
      </c>
      <c r="AD20" s="15" t="s">
        <v>41</v>
      </c>
      <c r="AE20" s="15" t="str">
        <f t="shared" si="4"/>
        <v>WO</v>
      </c>
      <c r="AF20" s="15" t="s">
        <v>41</v>
      </c>
      <c r="AG20" s="15" t="s">
        <v>41</v>
      </c>
      <c r="AH20" s="15" t="s">
        <v>41</v>
      </c>
      <c r="AI20" s="15" t="s">
        <v>41</v>
      </c>
      <c r="AJ20" s="15" t="s">
        <v>41</v>
      </c>
      <c r="AK20" s="15" t="s">
        <v>41</v>
      </c>
      <c r="AL20" s="15" t="str">
        <f t="shared" si="4"/>
        <v>WO</v>
      </c>
      <c r="AM20" s="16" t="s">
        <v>41</v>
      </c>
      <c r="AN20" s="41"/>
      <c r="AO20" s="41"/>
      <c r="AP20" s="30"/>
      <c r="AQ20" s="9">
        <v>14</v>
      </c>
      <c r="AR20" s="9" t="s">
        <v>16</v>
      </c>
      <c r="AS20" s="9" t="str">
        <f t="shared" si="5"/>
        <v>March</v>
      </c>
      <c r="AT20" s="10">
        <v>10014</v>
      </c>
      <c r="AU20" s="15">
        <f t="shared" si="6"/>
        <v>26</v>
      </c>
      <c r="AV20" s="15">
        <f t="shared" si="7"/>
        <v>0</v>
      </c>
      <c r="AW20" s="15">
        <f t="shared" si="8"/>
        <v>0</v>
      </c>
      <c r="AX20" s="15">
        <f t="shared" si="9"/>
        <v>5</v>
      </c>
      <c r="AY20" s="25">
        <f t="shared" si="10"/>
        <v>31</v>
      </c>
      <c r="AZ20" s="25">
        <f>JanReport15[[#This Row],[Days]]-JanReport15[[#This Row],[Abesent]]</f>
        <v>31</v>
      </c>
      <c r="BA20" s="26">
        <v>19000</v>
      </c>
      <c r="BB20" s="27">
        <f>JanReport15[[#This Row],[Salary]]/JanReport15[[#This Row],[Days]]</f>
        <v>612.90322580645159</v>
      </c>
      <c r="BC20" s="27">
        <f>JanReport15[[#This Row],[PerDaySalary]]*JanReport15[[#This Row],[Abesent]]</f>
        <v>0</v>
      </c>
      <c r="BD20" s="27">
        <f>JanReport15[[#This Row],[Salary]]-JanReport15[[#This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5</v>
      </c>
      <c r="I21" s="15" t="s">
        <v>41</v>
      </c>
      <c r="J21" s="15" t="str">
        <f t="shared" si="3"/>
        <v>WO</v>
      </c>
      <c r="K21" s="15" t="s">
        <v>41</v>
      </c>
      <c r="L21" s="15" t="s">
        <v>41</v>
      </c>
      <c r="M21" s="15" t="s">
        <v>41</v>
      </c>
      <c r="N21" s="15" t="s">
        <v>41</v>
      </c>
      <c r="O21" s="15" t="s">
        <v>41</v>
      </c>
      <c r="P21" s="15" t="s">
        <v>41</v>
      </c>
      <c r="Q21" s="15" t="str">
        <f t="shared" si="3"/>
        <v>WO</v>
      </c>
      <c r="R21" s="15" t="s">
        <v>41</v>
      </c>
      <c r="S21" s="15" t="s">
        <v>41</v>
      </c>
      <c r="T21" s="15" t="s">
        <v>41</v>
      </c>
      <c r="U21" s="15" t="s">
        <v>41</v>
      </c>
      <c r="V21" s="15" t="s">
        <v>41</v>
      </c>
      <c r="W21" s="15" t="s">
        <v>41</v>
      </c>
      <c r="X21" s="15" t="str">
        <f t="shared" si="3"/>
        <v>WO</v>
      </c>
      <c r="Y21" s="15" t="s">
        <v>41</v>
      </c>
      <c r="Z21" s="15" t="s">
        <v>41</v>
      </c>
      <c r="AA21" s="15" t="s">
        <v>41</v>
      </c>
      <c r="AB21" s="15" t="s">
        <v>41</v>
      </c>
      <c r="AC21" s="15" t="s">
        <v>41</v>
      </c>
      <c r="AD21" s="15" t="s">
        <v>41</v>
      </c>
      <c r="AE21" s="15" t="str">
        <f t="shared" si="4"/>
        <v>WO</v>
      </c>
      <c r="AF21" s="15" t="s">
        <v>41</v>
      </c>
      <c r="AG21" s="15" t="s">
        <v>41</v>
      </c>
      <c r="AH21" s="15" t="s">
        <v>41</v>
      </c>
      <c r="AI21" s="15" t="s">
        <v>41</v>
      </c>
      <c r="AJ21" s="15" t="s">
        <v>41</v>
      </c>
      <c r="AK21" s="15" t="s">
        <v>41</v>
      </c>
      <c r="AL21" s="15" t="str">
        <f t="shared" si="4"/>
        <v>WO</v>
      </c>
      <c r="AM21" s="16" t="s">
        <v>41</v>
      </c>
      <c r="AN21" s="41"/>
      <c r="AO21" s="41"/>
      <c r="AP21" s="30"/>
      <c r="AQ21" s="9">
        <v>15</v>
      </c>
      <c r="AR21" s="9" t="s">
        <v>17</v>
      </c>
      <c r="AS21" s="9" t="str">
        <f t="shared" si="5"/>
        <v>March</v>
      </c>
      <c r="AT21" s="10">
        <v>10015</v>
      </c>
      <c r="AU21" s="15">
        <f t="shared" si="6"/>
        <v>26</v>
      </c>
      <c r="AV21" s="15">
        <f t="shared" si="7"/>
        <v>0</v>
      </c>
      <c r="AW21" s="15">
        <f t="shared" si="8"/>
        <v>0</v>
      </c>
      <c r="AX21" s="15">
        <f t="shared" si="9"/>
        <v>5</v>
      </c>
      <c r="AY21" s="25">
        <f t="shared" si="10"/>
        <v>31</v>
      </c>
      <c r="AZ21" s="25">
        <f>JanReport15[[#This Row],[Days]]-JanReport15[[#This Row],[Abesent]]</f>
        <v>31</v>
      </c>
      <c r="BA21" s="26">
        <v>25000</v>
      </c>
      <c r="BB21" s="27">
        <f>JanReport15[[#This Row],[Salary]]/JanReport15[[#This Row],[Days]]</f>
        <v>806.45161290322585</v>
      </c>
      <c r="BC21" s="27">
        <f>JanReport15[[#This Row],[PerDaySalary]]*JanReport15[[#This Row],[Abesent]]</f>
        <v>0</v>
      </c>
      <c r="BD21" s="27">
        <f>JanReport15[[#This Row],[Salary]]-JanReport15[[#This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5</v>
      </c>
      <c r="I22" s="15" t="s">
        <v>41</v>
      </c>
      <c r="J22" s="15" t="str">
        <f t="shared" si="3"/>
        <v>WO</v>
      </c>
      <c r="K22" s="15" t="s">
        <v>41</v>
      </c>
      <c r="L22" s="15" t="s">
        <v>41</v>
      </c>
      <c r="M22" s="15" t="s">
        <v>41</v>
      </c>
      <c r="N22" s="15" t="s">
        <v>42</v>
      </c>
      <c r="O22" s="15" t="s">
        <v>41</v>
      </c>
      <c r="P22" s="15" t="s">
        <v>41</v>
      </c>
      <c r="Q22" s="15" t="str">
        <f t="shared" si="3"/>
        <v>WO</v>
      </c>
      <c r="R22" s="15" t="s">
        <v>41</v>
      </c>
      <c r="S22" s="15" t="s">
        <v>41</v>
      </c>
      <c r="T22" s="15" t="s">
        <v>41</v>
      </c>
      <c r="U22" s="15" t="s">
        <v>42</v>
      </c>
      <c r="V22" s="15" t="s">
        <v>41</v>
      </c>
      <c r="W22" s="15" t="s">
        <v>41</v>
      </c>
      <c r="X22" s="15" t="str">
        <f t="shared" ref="X22" si="11">IF(X$5="Sun","WO","")</f>
        <v>WO</v>
      </c>
      <c r="Y22" s="15" t="s">
        <v>41</v>
      </c>
      <c r="Z22" s="15" t="s">
        <v>41</v>
      </c>
      <c r="AA22" s="15" t="s">
        <v>41</v>
      </c>
      <c r="AB22" s="15" t="s">
        <v>42</v>
      </c>
      <c r="AC22" s="15" t="s">
        <v>41</v>
      </c>
      <c r="AD22" s="15" t="s">
        <v>41</v>
      </c>
      <c r="AE22" s="15" t="str">
        <f t="shared" si="4"/>
        <v>WO</v>
      </c>
      <c r="AF22" s="15" t="s">
        <v>41</v>
      </c>
      <c r="AG22" s="15" t="s">
        <v>41</v>
      </c>
      <c r="AH22" s="15" t="s">
        <v>41</v>
      </c>
      <c r="AI22" s="15" t="s">
        <v>42</v>
      </c>
      <c r="AJ22" s="15" t="s">
        <v>41</v>
      </c>
      <c r="AK22" s="15" t="s">
        <v>41</v>
      </c>
      <c r="AL22" s="15" t="str">
        <f t="shared" si="4"/>
        <v>WO</v>
      </c>
      <c r="AM22" s="16" t="s">
        <v>41</v>
      </c>
      <c r="AN22" s="41"/>
      <c r="AO22" s="41"/>
      <c r="AP22" s="30"/>
      <c r="AQ22" s="9">
        <v>16</v>
      </c>
      <c r="AR22" s="9" t="s">
        <v>18</v>
      </c>
      <c r="AS22" s="9" t="str">
        <f t="shared" si="5"/>
        <v>March</v>
      </c>
      <c r="AT22" s="10">
        <v>10016</v>
      </c>
      <c r="AU22" s="15">
        <f t="shared" si="6"/>
        <v>22</v>
      </c>
      <c r="AV22" s="15">
        <f t="shared" si="7"/>
        <v>4</v>
      </c>
      <c r="AW22" s="15">
        <f t="shared" si="8"/>
        <v>0</v>
      </c>
      <c r="AX22" s="15">
        <f t="shared" si="9"/>
        <v>5</v>
      </c>
      <c r="AY22" s="25">
        <f t="shared" si="10"/>
        <v>31</v>
      </c>
      <c r="AZ22" s="25">
        <f>JanReport15[[#This Row],[Days]]-JanReport15[[#This Row],[Abesent]]</f>
        <v>27</v>
      </c>
      <c r="BA22" s="26">
        <v>32000</v>
      </c>
      <c r="BB22" s="27">
        <f>JanReport15[[#This Row],[Salary]]/JanReport15[[#This Row],[Days]]</f>
        <v>1032.258064516129</v>
      </c>
      <c r="BC22" s="27">
        <f>JanReport15[[#This Row],[PerDaySalary]]*JanReport15[[#This Row],[Abesent]]</f>
        <v>4129.0322580645161</v>
      </c>
      <c r="BD22" s="27">
        <f>JanReport15[[#This Row],[Salary]]-JanReport15[[#This Row],[Deduction]]</f>
        <v>27870.967741935485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5</v>
      </c>
      <c r="I23" s="15" t="s">
        <v>41</v>
      </c>
      <c r="J23" s="15" t="str">
        <f t="shared" ref="J23:X26" si="12">IF(J$5="Sun","WO","")</f>
        <v>WO</v>
      </c>
      <c r="K23" s="15" t="s">
        <v>41</v>
      </c>
      <c r="L23" s="15" t="s">
        <v>41</v>
      </c>
      <c r="M23" s="15" t="s">
        <v>41</v>
      </c>
      <c r="N23" s="15" t="s">
        <v>41</v>
      </c>
      <c r="O23" s="15" t="s">
        <v>41</v>
      </c>
      <c r="P23" s="15" t="s">
        <v>41</v>
      </c>
      <c r="Q23" s="15" t="str">
        <f t="shared" si="12"/>
        <v>WO</v>
      </c>
      <c r="R23" s="15" t="s">
        <v>41</v>
      </c>
      <c r="S23" s="15" t="s">
        <v>41</v>
      </c>
      <c r="T23" s="15" t="s">
        <v>41</v>
      </c>
      <c r="U23" s="15" t="s">
        <v>41</v>
      </c>
      <c r="V23" s="15" t="s">
        <v>41</v>
      </c>
      <c r="W23" s="15" t="s">
        <v>41</v>
      </c>
      <c r="X23" s="15" t="str">
        <f t="shared" si="12"/>
        <v>WO</v>
      </c>
      <c r="Y23" s="15" t="s">
        <v>41</v>
      </c>
      <c r="Z23" s="15" t="s">
        <v>41</v>
      </c>
      <c r="AA23" s="15" t="s">
        <v>41</v>
      </c>
      <c r="AB23" s="15" t="s">
        <v>41</v>
      </c>
      <c r="AC23" s="15" t="s">
        <v>41</v>
      </c>
      <c r="AD23" s="15" t="s">
        <v>41</v>
      </c>
      <c r="AE23" s="15" t="str">
        <f t="shared" ref="AE23:AL26" si="13">IF(AE$5="Sun","WO","")</f>
        <v>WO</v>
      </c>
      <c r="AF23" s="15" t="s">
        <v>41</v>
      </c>
      <c r="AG23" s="15" t="s">
        <v>41</v>
      </c>
      <c r="AH23" s="15" t="s">
        <v>41</v>
      </c>
      <c r="AI23" s="15" t="s">
        <v>41</v>
      </c>
      <c r="AJ23" s="15" t="s">
        <v>41</v>
      </c>
      <c r="AK23" s="15" t="s">
        <v>41</v>
      </c>
      <c r="AL23" s="15" t="str">
        <f t="shared" si="13"/>
        <v>WO</v>
      </c>
      <c r="AM23" s="16" t="s">
        <v>41</v>
      </c>
      <c r="AN23" s="41"/>
      <c r="AO23" s="41"/>
      <c r="AP23" s="30"/>
      <c r="AQ23" s="9">
        <v>17</v>
      </c>
      <c r="AR23" s="9" t="s">
        <v>19</v>
      </c>
      <c r="AS23" s="9" t="str">
        <f t="shared" si="5"/>
        <v>March</v>
      </c>
      <c r="AT23" s="10">
        <v>10017</v>
      </c>
      <c r="AU23" s="15">
        <f t="shared" si="6"/>
        <v>26</v>
      </c>
      <c r="AV23" s="15">
        <f t="shared" si="7"/>
        <v>0</v>
      </c>
      <c r="AW23" s="15">
        <f t="shared" si="8"/>
        <v>0</v>
      </c>
      <c r="AX23" s="15">
        <f t="shared" si="9"/>
        <v>5</v>
      </c>
      <c r="AY23" s="25">
        <f t="shared" si="10"/>
        <v>31</v>
      </c>
      <c r="AZ23" s="25">
        <f>JanReport15[[#This Row],[Days]]-JanReport15[[#This Row],[Abesent]]</f>
        <v>31</v>
      </c>
      <c r="BA23" s="26">
        <v>35000</v>
      </c>
      <c r="BB23" s="27">
        <f>JanReport15[[#This Row],[Salary]]/JanReport15[[#This Row],[Days]]</f>
        <v>1129.0322580645161</v>
      </c>
      <c r="BC23" s="27">
        <f>JanReport15[[#This Row],[PerDaySalary]]*JanReport15[[#This Row],[Abesent]]</f>
        <v>0</v>
      </c>
      <c r="BD23" s="27">
        <f>JanReport15[[#This Row],[Salary]]-JanReport15[[#This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5</v>
      </c>
      <c r="I24" s="15" t="s">
        <v>41</v>
      </c>
      <c r="J24" s="15" t="str">
        <f t="shared" si="12"/>
        <v>WO</v>
      </c>
      <c r="K24" s="15" t="s">
        <v>41</v>
      </c>
      <c r="L24" s="15" t="s">
        <v>41</v>
      </c>
      <c r="M24" s="15" t="s">
        <v>41</v>
      </c>
      <c r="N24" s="15" t="s">
        <v>41</v>
      </c>
      <c r="O24" s="15" t="s">
        <v>41</v>
      </c>
      <c r="P24" s="15" t="s">
        <v>41</v>
      </c>
      <c r="Q24" s="15" t="str">
        <f t="shared" si="12"/>
        <v>WO</v>
      </c>
      <c r="R24" s="15" t="s">
        <v>41</v>
      </c>
      <c r="S24" s="15" t="s">
        <v>41</v>
      </c>
      <c r="T24" s="15" t="s">
        <v>41</v>
      </c>
      <c r="U24" s="15" t="s">
        <v>41</v>
      </c>
      <c r="V24" s="15" t="s">
        <v>41</v>
      </c>
      <c r="W24" s="15" t="s">
        <v>41</v>
      </c>
      <c r="X24" s="15" t="str">
        <f t="shared" si="12"/>
        <v>WO</v>
      </c>
      <c r="Y24" s="15" t="s">
        <v>41</v>
      </c>
      <c r="Z24" s="15" t="s">
        <v>41</v>
      </c>
      <c r="AA24" s="15" t="s">
        <v>41</v>
      </c>
      <c r="AB24" s="15" t="s">
        <v>41</v>
      </c>
      <c r="AC24" s="15" t="s">
        <v>41</v>
      </c>
      <c r="AD24" s="15" t="s">
        <v>41</v>
      </c>
      <c r="AE24" s="15" t="str">
        <f t="shared" si="13"/>
        <v>WO</v>
      </c>
      <c r="AF24" s="15" t="s">
        <v>41</v>
      </c>
      <c r="AG24" s="15" t="s">
        <v>41</v>
      </c>
      <c r="AH24" s="15" t="s">
        <v>41</v>
      </c>
      <c r="AI24" s="15" t="s">
        <v>41</v>
      </c>
      <c r="AJ24" s="15" t="s">
        <v>41</v>
      </c>
      <c r="AK24" s="15" t="s">
        <v>41</v>
      </c>
      <c r="AL24" s="15" t="str">
        <f t="shared" si="13"/>
        <v>WO</v>
      </c>
      <c r="AM24" s="16" t="s">
        <v>41</v>
      </c>
      <c r="AN24" s="41"/>
      <c r="AO24" s="41"/>
      <c r="AP24" s="30"/>
      <c r="AQ24" s="9">
        <v>18</v>
      </c>
      <c r="AR24" s="9" t="s">
        <v>20</v>
      </c>
      <c r="AS24" s="9" t="str">
        <f t="shared" si="5"/>
        <v>March</v>
      </c>
      <c r="AT24" s="10">
        <v>10018</v>
      </c>
      <c r="AU24" s="15">
        <f t="shared" si="6"/>
        <v>26</v>
      </c>
      <c r="AV24" s="15">
        <f t="shared" si="7"/>
        <v>0</v>
      </c>
      <c r="AW24" s="15">
        <f t="shared" si="8"/>
        <v>0</v>
      </c>
      <c r="AX24" s="15">
        <f t="shared" si="9"/>
        <v>5</v>
      </c>
      <c r="AY24" s="25">
        <f t="shared" si="10"/>
        <v>31</v>
      </c>
      <c r="AZ24" s="25">
        <f>JanReport15[[#This Row],[Days]]-JanReport15[[#This Row],[Abesent]]</f>
        <v>31</v>
      </c>
      <c r="BA24" s="26">
        <v>28000</v>
      </c>
      <c r="BB24" s="27">
        <f>JanReport15[[#This Row],[Salary]]/JanReport15[[#This Row],[Days]]</f>
        <v>903.22580645161293</v>
      </c>
      <c r="BC24" s="27">
        <f>JanReport15[[#This Row],[PerDaySalary]]*JanReport15[[#This Row],[Abesent]]</f>
        <v>0</v>
      </c>
      <c r="BD24" s="27">
        <f>JanReport15[[#This Row],[Salary]]-JanReport15[[#This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5</v>
      </c>
      <c r="I25" s="15" t="s">
        <v>41</v>
      </c>
      <c r="J25" s="15" t="str">
        <f t="shared" si="12"/>
        <v>WO</v>
      </c>
      <c r="K25" s="15" t="s">
        <v>41</v>
      </c>
      <c r="L25" s="15" t="s">
        <v>41</v>
      </c>
      <c r="M25" s="15" t="s">
        <v>41</v>
      </c>
      <c r="N25" s="15" t="s">
        <v>41</v>
      </c>
      <c r="O25" s="15" t="s">
        <v>41</v>
      </c>
      <c r="P25" s="15" t="s">
        <v>41</v>
      </c>
      <c r="Q25" s="15" t="str">
        <f t="shared" si="12"/>
        <v>WO</v>
      </c>
      <c r="R25" s="15" t="s">
        <v>41</v>
      </c>
      <c r="S25" s="15" t="s">
        <v>41</v>
      </c>
      <c r="T25" s="15" t="s">
        <v>41</v>
      </c>
      <c r="U25" s="15" t="s">
        <v>41</v>
      </c>
      <c r="V25" s="15" t="s">
        <v>41</v>
      </c>
      <c r="W25" s="15" t="s">
        <v>41</v>
      </c>
      <c r="X25" s="15" t="str">
        <f t="shared" si="12"/>
        <v>WO</v>
      </c>
      <c r="Y25" s="15" t="s">
        <v>41</v>
      </c>
      <c r="Z25" s="15" t="s">
        <v>41</v>
      </c>
      <c r="AA25" s="15" t="s">
        <v>41</v>
      </c>
      <c r="AB25" s="15" t="s">
        <v>41</v>
      </c>
      <c r="AC25" s="15" t="s">
        <v>41</v>
      </c>
      <c r="AD25" s="15" t="s">
        <v>41</v>
      </c>
      <c r="AE25" s="15" t="str">
        <f t="shared" si="13"/>
        <v>WO</v>
      </c>
      <c r="AF25" s="15" t="s">
        <v>41</v>
      </c>
      <c r="AG25" s="15" t="s">
        <v>41</v>
      </c>
      <c r="AH25" s="15" t="s">
        <v>41</v>
      </c>
      <c r="AI25" s="15" t="s">
        <v>41</v>
      </c>
      <c r="AJ25" s="15" t="s">
        <v>41</v>
      </c>
      <c r="AK25" s="15" t="s">
        <v>41</v>
      </c>
      <c r="AL25" s="15" t="str">
        <f t="shared" si="13"/>
        <v>WO</v>
      </c>
      <c r="AM25" s="16" t="s">
        <v>41</v>
      </c>
      <c r="AN25" s="41"/>
      <c r="AO25" s="41"/>
      <c r="AP25" s="30"/>
      <c r="AQ25" s="9">
        <v>19</v>
      </c>
      <c r="AR25" s="9" t="s">
        <v>21</v>
      </c>
      <c r="AS25" s="9" t="str">
        <f t="shared" si="5"/>
        <v>March</v>
      </c>
      <c r="AT25" s="10">
        <v>10019</v>
      </c>
      <c r="AU25" s="15">
        <f t="shared" si="6"/>
        <v>26</v>
      </c>
      <c r="AV25" s="15">
        <f t="shared" si="7"/>
        <v>0</v>
      </c>
      <c r="AW25" s="15">
        <f t="shared" si="8"/>
        <v>0</v>
      </c>
      <c r="AX25" s="15">
        <f t="shared" si="9"/>
        <v>5</v>
      </c>
      <c r="AY25" s="25">
        <f t="shared" si="10"/>
        <v>31</v>
      </c>
      <c r="AZ25" s="25">
        <f>JanReport15[[#This Row],[Days]]-JanReport15[[#This Row],[Abesent]]</f>
        <v>31</v>
      </c>
      <c r="BA25" s="26">
        <v>19000</v>
      </c>
      <c r="BB25" s="27">
        <f>JanReport15[[#This Row],[Salary]]/JanReport15[[#This Row],[Days]]</f>
        <v>612.90322580645159</v>
      </c>
      <c r="BC25" s="27">
        <f>JanReport15[[#This Row],[PerDaySalary]]*JanReport15[[#This Row],[Abesent]]</f>
        <v>0</v>
      </c>
      <c r="BD25" s="27">
        <f>JanReport15[[#This Row],[Salary]]-JanReport15[[#This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5</v>
      </c>
      <c r="I26" s="17" t="s">
        <v>41</v>
      </c>
      <c r="J26" s="17" t="str">
        <f t="shared" si="12"/>
        <v>WO</v>
      </c>
      <c r="K26" s="17" t="s">
        <v>41</v>
      </c>
      <c r="L26" s="17" t="s">
        <v>41</v>
      </c>
      <c r="M26" s="17" t="s">
        <v>41</v>
      </c>
      <c r="N26" s="17" t="s">
        <v>41</v>
      </c>
      <c r="O26" s="17" t="s">
        <v>41</v>
      </c>
      <c r="P26" s="17" t="s">
        <v>41</v>
      </c>
      <c r="Q26" s="17" t="str">
        <f t="shared" si="12"/>
        <v>WO</v>
      </c>
      <c r="R26" s="17" t="s">
        <v>41</v>
      </c>
      <c r="S26" s="17" t="s">
        <v>41</v>
      </c>
      <c r="T26" s="17" t="s">
        <v>41</v>
      </c>
      <c r="U26" s="17" t="s">
        <v>41</v>
      </c>
      <c r="V26" s="17" t="s">
        <v>41</v>
      </c>
      <c r="W26" s="17" t="s">
        <v>41</v>
      </c>
      <c r="X26" s="17" t="str">
        <f t="shared" si="12"/>
        <v>WO</v>
      </c>
      <c r="Y26" s="17" t="s">
        <v>41</v>
      </c>
      <c r="Z26" s="17" t="s">
        <v>41</v>
      </c>
      <c r="AA26" s="17" t="s">
        <v>41</v>
      </c>
      <c r="AB26" s="17" t="s">
        <v>41</v>
      </c>
      <c r="AC26" s="17" t="s">
        <v>41</v>
      </c>
      <c r="AD26" s="17" t="s">
        <v>41</v>
      </c>
      <c r="AE26" s="17" t="str">
        <f t="shared" si="13"/>
        <v>WO</v>
      </c>
      <c r="AF26" s="17" t="s">
        <v>41</v>
      </c>
      <c r="AG26" s="17" t="s">
        <v>41</v>
      </c>
      <c r="AH26" s="17" t="s">
        <v>41</v>
      </c>
      <c r="AI26" s="17" t="s">
        <v>41</v>
      </c>
      <c r="AJ26" s="17" t="s">
        <v>41</v>
      </c>
      <c r="AK26" s="17" t="s">
        <v>41</v>
      </c>
      <c r="AL26" s="17" t="str">
        <f t="shared" si="13"/>
        <v>WO</v>
      </c>
      <c r="AM26" s="18" t="s">
        <v>41</v>
      </c>
      <c r="AN26" s="41"/>
      <c r="AO26" s="41"/>
      <c r="AP26" s="30"/>
      <c r="AQ26" s="9">
        <v>20</v>
      </c>
      <c r="AR26" s="9" t="s">
        <v>22</v>
      </c>
      <c r="AS26" s="9" t="str">
        <f t="shared" si="5"/>
        <v>March</v>
      </c>
      <c r="AT26" s="10">
        <v>10020</v>
      </c>
      <c r="AU26" s="15">
        <f t="shared" si="6"/>
        <v>26</v>
      </c>
      <c r="AV26" s="15">
        <f t="shared" si="7"/>
        <v>0</v>
      </c>
      <c r="AW26" s="15">
        <f t="shared" si="8"/>
        <v>0</v>
      </c>
      <c r="AX26" s="15">
        <f t="shared" si="9"/>
        <v>5</v>
      </c>
      <c r="AY26" s="25">
        <f t="shared" si="10"/>
        <v>31</v>
      </c>
      <c r="AZ26" s="25">
        <f>JanReport15[[#This Row],[Days]]-JanReport15[[#This Row],[Abesent]]</f>
        <v>31</v>
      </c>
      <c r="BA26" s="26">
        <v>20000</v>
      </c>
      <c r="BB26" s="27">
        <f>JanReport15[[#This Row],[Salary]]/JanReport15[[#This Row],[Days]]</f>
        <v>645.16129032258061</v>
      </c>
      <c r="BC26" s="27">
        <f>JanReport15[[#This Row],[PerDaySalary]]*JanReport15[[#This Row],[Abesent]]</f>
        <v>0</v>
      </c>
      <c r="BD26" s="27">
        <f>JanReport15[[#This Row],[Salary]]-JanReport15[[#This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39" priority="1" operator="containsText" text="L">
      <formula>NOT(ISERROR(SEARCH("L",I7)))</formula>
    </cfRule>
    <cfRule type="containsText" dxfId="38" priority="2" operator="containsText" text="A">
      <formula>NOT(ISERROR(SEARCH("A",I7)))</formula>
    </cfRule>
    <cfRule type="containsText" dxfId="37" priority="3" operator="containsText" text="P">
      <formula>NOT(ISERROR(SEARCH("P",I7)))</formula>
    </cfRule>
    <cfRule type="containsText" dxfId="36" priority="4" operator="containsText" text="WO">
      <formula>NOT(ISERROR(SEARCH("WO",I7)))</formula>
    </cfRule>
  </conditionalFormatting>
  <dataValidations count="1">
    <dataValidation type="list" allowBlank="1" showInputMessage="1" showErrorMessage="1" sqref="AF7:AK26 I7:I26 K7:P26 R7:W26 Y7:AD26 AM7:AM26" xr:uid="{BCFABD3C-4674-4CA1-A4F9-79D52CCD95A4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38E6CD-89C9-4EFD-8898-B43F82499253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23DF92B-935C-4901-A199-C1E6970E0C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Mar!AU7:AW7</xm:f>
              <xm:sqref>BE7</xm:sqref>
            </x14:sparkline>
            <x14:sparkline>
              <xm:f>Mar!AU8:AW8</xm:f>
              <xm:sqref>BE8</xm:sqref>
            </x14:sparkline>
            <x14:sparkline>
              <xm:f>Mar!AU9:AW9</xm:f>
              <xm:sqref>BE9</xm:sqref>
            </x14:sparkline>
            <x14:sparkline>
              <xm:f>Mar!AU10:AW10</xm:f>
              <xm:sqref>BE10</xm:sqref>
            </x14:sparkline>
            <x14:sparkline>
              <xm:f>Mar!AU11:AW11</xm:f>
              <xm:sqref>BE11</xm:sqref>
            </x14:sparkline>
            <x14:sparkline>
              <xm:f>Mar!AU12:AW12</xm:f>
              <xm:sqref>BE12</xm:sqref>
            </x14:sparkline>
            <x14:sparkline>
              <xm:f>Mar!AU13:AW13</xm:f>
              <xm:sqref>BE13</xm:sqref>
            </x14:sparkline>
            <x14:sparkline>
              <xm:f>Mar!AU14:AW14</xm:f>
              <xm:sqref>BE14</xm:sqref>
            </x14:sparkline>
            <x14:sparkline>
              <xm:f>Mar!AU15:AW15</xm:f>
              <xm:sqref>BE15</xm:sqref>
            </x14:sparkline>
            <x14:sparkline>
              <xm:f>Mar!AU16:AW16</xm:f>
              <xm:sqref>BE16</xm:sqref>
            </x14:sparkline>
            <x14:sparkline>
              <xm:f>Mar!AU17:AW17</xm:f>
              <xm:sqref>BE17</xm:sqref>
            </x14:sparkline>
            <x14:sparkline>
              <xm:f>Mar!AU18:AW18</xm:f>
              <xm:sqref>BE18</xm:sqref>
            </x14:sparkline>
            <x14:sparkline>
              <xm:f>Mar!AU19:AW19</xm:f>
              <xm:sqref>BE19</xm:sqref>
            </x14:sparkline>
            <x14:sparkline>
              <xm:f>Mar!AU20:AW20</xm:f>
              <xm:sqref>BE20</xm:sqref>
            </x14:sparkline>
            <x14:sparkline>
              <xm:f>Mar!AU21:AW21</xm:f>
              <xm:sqref>BE21</xm:sqref>
            </x14:sparkline>
            <x14:sparkline>
              <xm:f>Mar!AU22:AW22</xm:f>
              <xm:sqref>BE22</xm:sqref>
            </x14:sparkline>
            <x14:sparkline>
              <xm:f>Mar!AU23:AW23</xm:f>
              <xm:sqref>BE23</xm:sqref>
            </x14:sparkline>
            <x14:sparkline>
              <xm:f>Mar!AU24:AW24</xm:f>
              <xm:sqref>BE24</xm:sqref>
            </x14:sparkline>
            <x14:sparkline>
              <xm:f>Mar!AU25:AW25</xm:f>
              <xm:sqref>BE25</xm:sqref>
            </x14:sparkline>
            <x14:sparkline>
              <xm:f>Mar!AU26:AW26</xm:f>
              <xm:sqref>BE26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8052-6F15-4AEE-9007-3921B32460BB}">
  <dimension ref="A1:BI32"/>
  <sheetViews>
    <sheetView zoomScaleNormal="100" workbookViewId="0"/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45748</v>
      </c>
      <c r="G4" s="42" t="str">
        <f>TEXT(F4,"MMMM")</f>
        <v>April</v>
      </c>
      <c r="H4" s="44">
        <f>(DATEDIF(F4,J4,"D"))+1</f>
        <v>30</v>
      </c>
      <c r="I4" s="42" t="s">
        <v>26</v>
      </c>
      <c r="J4" s="47">
        <f>EOMONTH(F4,0)</f>
        <v>45777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Tue</v>
      </c>
      <c r="J5" s="13" t="str">
        <f t="shared" ref="J5:AM5" si="0">TEXT(J6,"ddd")</f>
        <v>Wed</v>
      </c>
      <c r="K5" s="13" t="str">
        <f t="shared" si="0"/>
        <v>Thu</v>
      </c>
      <c r="L5" s="13" t="str">
        <f t="shared" si="0"/>
        <v>Fri</v>
      </c>
      <c r="M5" s="13" t="str">
        <f t="shared" si="0"/>
        <v>Sat</v>
      </c>
      <c r="N5" s="13" t="str">
        <f t="shared" si="0"/>
        <v>Sun</v>
      </c>
      <c r="O5" s="13" t="str">
        <f t="shared" si="0"/>
        <v>Mon</v>
      </c>
      <c r="P5" s="13" t="str">
        <f t="shared" si="0"/>
        <v>Tue</v>
      </c>
      <c r="Q5" s="13" t="str">
        <f t="shared" si="0"/>
        <v>Wed</v>
      </c>
      <c r="R5" s="13" t="str">
        <f t="shared" si="0"/>
        <v>Thu</v>
      </c>
      <c r="S5" s="13" t="str">
        <f t="shared" si="0"/>
        <v>Fri</v>
      </c>
      <c r="T5" s="13" t="str">
        <f t="shared" si="0"/>
        <v>Sat</v>
      </c>
      <c r="U5" s="13" t="str">
        <f t="shared" si="0"/>
        <v>Sun</v>
      </c>
      <c r="V5" s="13" t="str">
        <f t="shared" si="0"/>
        <v>Mon</v>
      </c>
      <c r="W5" s="13" t="str">
        <f t="shared" si="0"/>
        <v>Tue</v>
      </c>
      <c r="X5" s="13" t="str">
        <f t="shared" si="0"/>
        <v>Wed</v>
      </c>
      <c r="Y5" s="13" t="str">
        <f t="shared" si="0"/>
        <v>Thu</v>
      </c>
      <c r="Z5" s="13" t="str">
        <f t="shared" si="0"/>
        <v>Fri</v>
      </c>
      <c r="AA5" s="13" t="str">
        <f t="shared" si="0"/>
        <v>Sat</v>
      </c>
      <c r="AB5" s="13" t="str">
        <f t="shared" si="0"/>
        <v>Sun</v>
      </c>
      <c r="AC5" s="13" t="str">
        <f t="shared" si="0"/>
        <v>Mon</v>
      </c>
      <c r="AD5" s="13" t="str">
        <f t="shared" si="0"/>
        <v>Tue</v>
      </c>
      <c r="AE5" s="13" t="str">
        <f t="shared" si="0"/>
        <v>Wed</v>
      </c>
      <c r="AF5" s="13" t="str">
        <f t="shared" si="0"/>
        <v>Thu</v>
      </c>
      <c r="AG5" s="13" t="str">
        <f t="shared" si="0"/>
        <v>Fri</v>
      </c>
      <c r="AH5" s="13" t="str">
        <f t="shared" si="0"/>
        <v>Sat</v>
      </c>
      <c r="AI5" s="13" t="str">
        <f t="shared" si="0"/>
        <v>Sun</v>
      </c>
      <c r="AJ5" s="13" t="str">
        <f t="shared" si="0"/>
        <v>Mon</v>
      </c>
      <c r="AK5" s="13" t="str">
        <f t="shared" si="0"/>
        <v>Tue</v>
      </c>
      <c r="AL5" s="13" t="str">
        <f t="shared" si="0"/>
        <v>Wed</v>
      </c>
      <c r="AM5" s="14" t="str">
        <f t="shared" si="0"/>
        <v/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45748</v>
      </c>
      <c r="J6" s="34">
        <f>IF(I6&lt;$J$4,I6+1,"")</f>
        <v>45749</v>
      </c>
      <c r="K6" s="34">
        <f t="shared" ref="K6:AM6" si="1">IF(J6&lt;$J$4,J6+1,"")</f>
        <v>45750</v>
      </c>
      <c r="L6" s="34">
        <f t="shared" si="1"/>
        <v>45751</v>
      </c>
      <c r="M6" s="34">
        <f t="shared" si="1"/>
        <v>45752</v>
      </c>
      <c r="N6" s="34">
        <f t="shared" si="1"/>
        <v>45753</v>
      </c>
      <c r="O6" s="34">
        <f t="shared" si="1"/>
        <v>45754</v>
      </c>
      <c r="P6" s="34">
        <f t="shared" si="1"/>
        <v>45755</v>
      </c>
      <c r="Q6" s="34">
        <f t="shared" si="1"/>
        <v>45756</v>
      </c>
      <c r="R6" s="34">
        <f t="shared" si="1"/>
        <v>45757</v>
      </c>
      <c r="S6" s="34">
        <f t="shared" si="1"/>
        <v>45758</v>
      </c>
      <c r="T6" s="34">
        <f t="shared" si="1"/>
        <v>45759</v>
      </c>
      <c r="U6" s="34">
        <f t="shared" si="1"/>
        <v>45760</v>
      </c>
      <c r="V6" s="34">
        <f t="shared" si="1"/>
        <v>45761</v>
      </c>
      <c r="W6" s="34">
        <f t="shared" si="1"/>
        <v>45762</v>
      </c>
      <c r="X6" s="34">
        <f t="shared" si="1"/>
        <v>45763</v>
      </c>
      <c r="Y6" s="34">
        <f t="shared" si="1"/>
        <v>45764</v>
      </c>
      <c r="Z6" s="34">
        <f t="shared" si="1"/>
        <v>45765</v>
      </c>
      <c r="AA6" s="34">
        <f t="shared" si="1"/>
        <v>45766</v>
      </c>
      <c r="AB6" s="34">
        <f t="shared" si="1"/>
        <v>45767</v>
      </c>
      <c r="AC6" s="34">
        <f t="shared" si="1"/>
        <v>45768</v>
      </c>
      <c r="AD6" s="34">
        <f t="shared" si="1"/>
        <v>45769</v>
      </c>
      <c r="AE6" s="34">
        <f t="shared" si="1"/>
        <v>45770</v>
      </c>
      <c r="AF6" s="34">
        <f t="shared" si="1"/>
        <v>45771</v>
      </c>
      <c r="AG6" s="34">
        <f t="shared" si="1"/>
        <v>45772</v>
      </c>
      <c r="AH6" s="34">
        <f t="shared" si="1"/>
        <v>45773</v>
      </c>
      <c r="AI6" s="34">
        <f t="shared" si="1"/>
        <v>45774</v>
      </c>
      <c r="AJ6" s="34">
        <f t="shared" si="1"/>
        <v>45775</v>
      </c>
      <c r="AK6" s="34">
        <f t="shared" si="1"/>
        <v>45776</v>
      </c>
      <c r="AL6" s="34">
        <f t="shared" si="1"/>
        <v>45777</v>
      </c>
      <c r="AM6" s="36" t="str">
        <f t="shared" si="1"/>
        <v/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4</v>
      </c>
      <c r="I7" s="15" t="s">
        <v>41</v>
      </c>
      <c r="J7" s="15" t="s">
        <v>41</v>
      </c>
      <c r="K7" s="15" t="s">
        <v>41</v>
      </c>
      <c r="L7" s="15" t="s">
        <v>41</v>
      </c>
      <c r="M7" s="15" t="s">
        <v>41</v>
      </c>
      <c r="N7" s="15" t="str">
        <f t="shared" ref="N7:U22" si="3">IF(N$5="Sun","WO","")</f>
        <v>WO</v>
      </c>
      <c r="O7" s="15" t="s">
        <v>41</v>
      </c>
      <c r="P7" s="15" t="s">
        <v>41</v>
      </c>
      <c r="Q7" s="15" t="s">
        <v>41</v>
      </c>
      <c r="R7" s="15" t="s">
        <v>41</v>
      </c>
      <c r="S7" s="15" t="s">
        <v>41</v>
      </c>
      <c r="T7" s="15" t="s">
        <v>41</v>
      </c>
      <c r="U7" s="15" t="str">
        <f t="shared" si="3"/>
        <v>WO</v>
      </c>
      <c r="V7" s="15" t="s">
        <v>41</v>
      </c>
      <c r="W7" s="15" t="s">
        <v>41</v>
      </c>
      <c r="X7" s="15" t="s">
        <v>41</v>
      </c>
      <c r="Y7" s="15" t="s">
        <v>41</v>
      </c>
      <c r="Z7" s="15" t="s">
        <v>41</v>
      </c>
      <c r="AA7" s="15" t="s">
        <v>41</v>
      </c>
      <c r="AB7" s="15" t="str">
        <f t="shared" ref="AB7:AI22" si="4">IF(AB$5="Sun","WO","")</f>
        <v>WO</v>
      </c>
      <c r="AC7" s="15" t="s">
        <v>41</v>
      </c>
      <c r="AD7" s="15" t="s">
        <v>41</v>
      </c>
      <c r="AE7" s="15" t="s">
        <v>41</v>
      </c>
      <c r="AF7" s="15" t="s">
        <v>41</v>
      </c>
      <c r="AG7" s="15" t="s">
        <v>41</v>
      </c>
      <c r="AH7" s="15" t="s">
        <v>41</v>
      </c>
      <c r="AI7" s="15" t="str">
        <f t="shared" si="4"/>
        <v>WO</v>
      </c>
      <c r="AJ7" s="15" t="s">
        <v>41</v>
      </c>
      <c r="AK7" s="15" t="s">
        <v>41</v>
      </c>
      <c r="AL7" s="15" t="s">
        <v>43</v>
      </c>
      <c r="AM7" s="16"/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April</v>
      </c>
      <c r="AT7" s="7">
        <v>10001</v>
      </c>
      <c r="AU7" s="21">
        <f t="shared" ref="AU7:AU26" si="6">COUNTIF($I7:$AM7,"P")</f>
        <v>25</v>
      </c>
      <c r="AV7" s="21">
        <f t="shared" ref="AV7:AV26" si="7">COUNTIF($I7:$AM7,"A")</f>
        <v>0</v>
      </c>
      <c r="AW7" s="21">
        <f t="shared" ref="AW7:AW26" si="8">COUNTIF($I7:$AM7,"L")</f>
        <v>1</v>
      </c>
      <c r="AX7" s="21">
        <f t="shared" ref="AX7:AX26" si="9">$H$7</f>
        <v>4</v>
      </c>
      <c r="AY7" s="22">
        <f t="shared" ref="AY7:AY26" si="10">$H$4</f>
        <v>30</v>
      </c>
      <c r="AZ7" s="22">
        <f>JanReport16[[#This Row],[Days]]-JanReport16[[#This Row],[Abesent]]</f>
        <v>30</v>
      </c>
      <c r="BA7" s="23">
        <v>10000</v>
      </c>
      <c r="BB7" s="24">
        <f>JanReport16[[#This Row],[Salary]]/JanReport16[[#This Row],[Days]]</f>
        <v>333.33333333333331</v>
      </c>
      <c r="BC7" s="24">
        <f>JanReport16[[#This Row],[PerDaySalary]]*JanReport16[[#This Row],[Abesent]]</f>
        <v>0</v>
      </c>
      <c r="BD7" s="24">
        <f>JanReport16[[#This Row],[Salary]]-JanReport16[[#This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4</v>
      </c>
      <c r="I8" s="15" t="s">
        <v>41</v>
      </c>
      <c r="J8" s="15" t="s">
        <v>41</v>
      </c>
      <c r="K8" s="15" t="s">
        <v>41</v>
      </c>
      <c r="L8" s="15" t="s">
        <v>41</v>
      </c>
      <c r="M8" s="15" t="s">
        <v>41</v>
      </c>
      <c r="N8" s="15" t="str">
        <f t="shared" si="3"/>
        <v>WO</v>
      </c>
      <c r="O8" s="15" t="s">
        <v>41</v>
      </c>
      <c r="P8" s="15" t="s">
        <v>41</v>
      </c>
      <c r="Q8" s="15" t="s">
        <v>41</v>
      </c>
      <c r="R8" s="15" t="s">
        <v>41</v>
      </c>
      <c r="S8" s="15" t="s">
        <v>41</v>
      </c>
      <c r="T8" s="15" t="s">
        <v>41</v>
      </c>
      <c r="U8" s="15" t="str">
        <f t="shared" si="3"/>
        <v>WO</v>
      </c>
      <c r="V8" s="15" t="s">
        <v>41</v>
      </c>
      <c r="W8" s="15" t="s">
        <v>41</v>
      </c>
      <c r="X8" s="15" t="s">
        <v>41</v>
      </c>
      <c r="Y8" s="15" t="s">
        <v>41</v>
      </c>
      <c r="Z8" s="15" t="s">
        <v>41</v>
      </c>
      <c r="AA8" s="15" t="s">
        <v>41</v>
      </c>
      <c r="AB8" s="15" t="str">
        <f t="shared" si="4"/>
        <v>WO</v>
      </c>
      <c r="AC8" s="15" t="s">
        <v>41</v>
      </c>
      <c r="AD8" s="15" t="s">
        <v>41</v>
      </c>
      <c r="AE8" s="15" t="s">
        <v>41</v>
      </c>
      <c r="AF8" s="15" t="s">
        <v>41</v>
      </c>
      <c r="AG8" s="15" t="s">
        <v>41</v>
      </c>
      <c r="AH8" s="15" t="s">
        <v>41</v>
      </c>
      <c r="AI8" s="15" t="str">
        <f t="shared" si="4"/>
        <v>WO</v>
      </c>
      <c r="AJ8" s="15" t="s">
        <v>41</v>
      </c>
      <c r="AK8" s="15" t="s">
        <v>41</v>
      </c>
      <c r="AL8" s="15" t="s">
        <v>43</v>
      </c>
      <c r="AM8" s="16"/>
      <c r="AN8" s="41"/>
      <c r="AO8" s="41"/>
      <c r="AP8" s="31"/>
      <c r="AQ8" s="9">
        <v>2</v>
      </c>
      <c r="AR8" s="9" t="s">
        <v>4</v>
      </c>
      <c r="AS8" s="9" t="str">
        <f t="shared" si="5"/>
        <v>April</v>
      </c>
      <c r="AT8" s="10">
        <v>10002</v>
      </c>
      <c r="AU8" s="15">
        <f t="shared" si="6"/>
        <v>25</v>
      </c>
      <c r="AV8" s="15">
        <f t="shared" si="7"/>
        <v>0</v>
      </c>
      <c r="AW8" s="15">
        <f t="shared" si="8"/>
        <v>1</v>
      </c>
      <c r="AX8" s="15">
        <f t="shared" si="9"/>
        <v>4</v>
      </c>
      <c r="AY8" s="25">
        <f t="shared" si="10"/>
        <v>30</v>
      </c>
      <c r="AZ8" s="25">
        <f>JanReport16[[#This Row],[Days]]-JanReport16[[#This Row],[Abesent]]</f>
        <v>30</v>
      </c>
      <c r="BA8" s="26">
        <v>15000</v>
      </c>
      <c r="BB8" s="27">
        <f>JanReport16[[#This Row],[Salary]]/JanReport16[[#This Row],[Days]]</f>
        <v>500</v>
      </c>
      <c r="BC8" s="27">
        <f>JanReport16[[#This Row],[PerDaySalary]]*JanReport16[[#This Row],[Abesent]]</f>
        <v>0</v>
      </c>
      <c r="BD8" s="27">
        <f>JanReport16[[#This Row],[Salary]]-JanReport16[[#This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4</v>
      </c>
      <c r="I9" s="15" t="s">
        <v>41</v>
      </c>
      <c r="J9" s="15" t="s">
        <v>41</v>
      </c>
      <c r="K9" s="15" t="s">
        <v>41</v>
      </c>
      <c r="L9" s="15" t="s">
        <v>41</v>
      </c>
      <c r="M9" s="15" t="s">
        <v>41</v>
      </c>
      <c r="N9" s="15" t="str">
        <f t="shared" si="3"/>
        <v>WO</v>
      </c>
      <c r="O9" s="15" t="s">
        <v>41</v>
      </c>
      <c r="P9" s="15" t="s">
        <v>41</v>
      </c>
      <c r="Q9" s="15" t="s">
        <v>41</v>
      </c>
      <c r="R9" s="15" t="s">
        <v>41</v>
      </c>
      <c r="S9" s="15" t="s">
        <v>41</v>
      </c>
      <c r="T9" s="15" t="s">
        <v>41</v>
      </c>
      <c r="U9" s="15" t="str">
        <f t="shared" si="3"/>
        <v>WO</v>
      </c>
      <c r="V9" s="15" t="s">
        <v>41</v>
      </c>
      <c r="W9" s="15" t="s">
        <v>41</v>
      </c>
      <c r="X9" s="15" t="s">
        <v>41</v>
      </c>
      <c r="Y9" s="15" t="s">
        <v>41</v>
      </c>
      <c r="Z9" s="15" t="s">
        <v>41</v>
      </c>
      <c r="AA9" s="15" t="s">
        <v>41</v>
      </c>
      <c r="AB9" s="15" t="str">
        <f t="shared" si="4"/>
        <v>WO</v>
      </c>
      <c r="AC9" s="15" t="s">
        <v>41</v>
      </c>
      <c r="AD9" s="15" t="s">
        <v>41</v>
      </c>
      <c r="AE9" s="15" t="s">
        <v>41</v>
      </c>
      <c r="AF9" s="15" t="s">
        <v>41</v>
      </c>
      <c r="AG9" s="15" t="s">
        <v>41</v>
      </c>
      <c r="AH9" s="15" t="s">
        <v>41</v>
      </c>
      <c r="AI9" s="15" t="str">
        <f t="shared" si="4"/>
        <v>WO</v>
      </c>
      <c r="AJ9" s="15" t="s">
        <v>41</v>
      </c>
      <c r="AK9" s="15" t="s">
        <v>41</v>
      </c>
      <c r="AL9" s="15" t="s">
        <v>43</v>
      </c>
      <c r="AM9" s="16"/>
      <c r="AN9" s="41"/>
      <c r="AO9" s="41"/>
      <c r="AP9" s="30"/>
      <c r="AQ9" s="9">
        <v>3</v>
      </c>
      <c r="AR9" s="9" t="s">
        <v>5</v>
      </c>
      <c r="AS9" s="9" t="str">
        <f t="shared" si="5"/>
        <v>April</v>
      </c>
      <c r="AT9" s="10">
        <v>10003</v>
      </c>
      <c r="AU9" s="15">
        <f t="shared" si="6"/>
        <v>25</v>
      </c>
      <c r="AV9" s="15">
        <f t="shared" si="7"/>
        <v>0</v>
      </c>
      <c r="AW9" s="15">
        <f t="shared" si="8"/>
        <v>1</v>
      </c>
      <c r="AX9" s="15">
        <f t="shared" si="9"/>
        <v>4</v>
      </c>
      <c r="AY9" s="25">
        <f t="shared" si="10"/>
        <v>30</v>
      </c>
      <c r="AZ9" s="25">
        <f>JanReport16[[#This Row],[Days]]-JanReport16[[#This Row],[Abesent]]</f>
        <v>30</v>
      </c>
      <c r="BA9" s="26">
        <v>20000</v>
      </c>
      <c r="BB9" s="27">
        <f>JanReport16[[#This Row],[Salary]]/JanReport16[[#This Row],[Days]]</f>
        <v>666.66666666666663</v>
      </c>
      <c r="BC9" s="27">
        <f>JanReport16[[#This Row],[PerDaySalary]]*JanReport16[[#This Row],[Abesent]]</f>
        <v>0</v>
      </c>
      <c r="BD9" s="27">
        <f>JanReport16[[#This Row],[Salary]]-JanReport16[[#This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4</v>
      </c>
      <c r="I10" s="15" t="s">
        <v>41</v>
      </c>
      <c r="J10" s="15" t="s">
        <v>41</v>
      </c>
      <c r="K10" s="15" t="s">
        <v>41</v>
      </c>
      <c r="L10" s="45" t="s">
        <v>43</v>
      </c>
      <c r="M10" s="15" t="s">
        <v>41</v>
      </c>
      <c r="N10" s="15" t="str">
        <f t="shared" si="3"/>
        <v>WO</v>
      </c>
      <c r="O10" s="15" t="s">
        <v>41</v>
      </c>
      <c r="P10" s="15" t="s">
        <v>41</v>
      </c>
      <c r="Q10" s="15" t="s">
        <v>41</v>
      </c>
      <c r="R10" s="45" t="s">
        <v>43</v>
      </c>
      <c r="S10" s="15" t="s">
        <v>41</v>
      </c>
      <c r="T10" s="15" t="s">
        <v>41</v>
      </c>
      <c r="U10" s="15" t="str">
        <f t="shared" si="3"/>
        <v>WO</v>
      </c>
      <c r="V10" s="15" t="s">
        <v>41</v>
      </c>
      <c r="W10" s="15" t="s">
        <v>41</v>
      </c>
      <c r="X10" s="15" t="s">
        <v>41</v>
      </c>
      <c r="Y10" s="45" t="s">
        <v>43</v>
      </c>
      <c r="Z10" s="15" t="s">
        <v>41</v>
      </c>
      <c r="AA10" s="15" t="s">
        <v>41</v>
      </c>
      <c r="AB10" s="15" t="str">
        <f t="shared" si="4"/>
        <v>WO</v>
      </c>
      <c r="AC10" s="15" t="s">
        <v>41</v>
      </c>
      <c r="AD10" s="15" t="s">
        <v>41</v>
      </c>
      <c r="AE10" s="15" t="s">
        <v>41</v>
      </c>
      <c r="AF10" s="45" t="s">
        <v>43</v>
      </c>
      <c r="AG10" s="15" t="s">
        <v>41</v>
      </c>
      <c r="AH10" s="15" t="s">
        <v>41</v>
      </c>
      <c r="AI10" s="15" t="str">
        <f t="shared" si="4"/>
        <v>WO</v>
      </c>
      <c r="AJ10" s="15" t="s">
        <v>41</v>
      </c>
      <c r="AK10" s="15" t="s">
        <v>41</v>
      </c>
      <c r="AL10" s="15" t="s">
        <v>43</v>
      </c>
      <c r="AM10" s="16"/>
      <c r="AN10" s="41"/>
      <c r="AO10" s="41"/>
      <c r="AP10" s="30"/>
      <c r="AQ10" s="9">
        <v>4</v>
      </c>
      <c r="AR10" s="9" t="s">
        <v>6</v>
      </c>
      <c r="AS10" s="9" t="str">
        <f t="shared" si="5"/>
        <v>April</v>
      </c>
      <c r="AT10" s="10">
        <v>10004</v>
      </c>
      <c r="AU10" s="15">
        <f t="shared" si="6"/>
        <v>21</v>
      </c>
      <c r="AV10" s="15">
        <f t="shared" si="7"/>
        <v>0</v>
      </c>
      <c r="AW10" s="15">
        <f t="shared" si="8"/>
        <v>5</v>
      </c>
      <c r="AX10" s="15">
        <f t="shared" si="9"/>
        <v>4</v>
      </c>
      <c r="AY10" s="25">
        <f t="shared" si="10"/>
        <v>30</v>
      </c>
      <c r="AZ10" s="25">
        <f>JanReport16[[#This Row],[Days]]-JanReport16[[#This Row],[Abesent]]</f>
        <v>30</v>
      </c>
      <c r="BA10" s="26">
        <v>21000</v>
      </c>
      <c r="BB10" s="27">
        <f>JanReport16[[#This Row],[Salary]]/JanReport16[[#This Row],[Days]]</f>
        <v>700</v>
      </c>
      <c r="BC10" s="27">
        <f>JanReport16[[#This Row],[PerDaySalary]]*JanReport16[[#This Row],[Abesent]]</f>
        <v>0</v>
      </c>
      <c r="BD10" s="27">
        <f>JanReport16[[#This Row],[Salary]]-JanReport16[[#This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4</v>
      </c>
      <c r="I11" s="15" t="s">
        <v>41</v>
      </c>
      <c r="J11" s="15" t="s">
        <v>41</v>
      </c>
      <c r="K11" s="15" t="s">
        <v>41</v>
      </c>
      <c r="L11" s="15" t="s">
        <v>41</v>
      </c>
      <c r="M11" s="15" t="s">
        <v>41</v>
      </c>
      <c r="N11" s="15" t="str">
        <f t="shared" si="3"/>
        <v>WO</v>
      </c>
      <c r="O11" s="15" t="s">
        <v>41</v>
      </c>
      <c r="P11" s="15" t="s">
        <v>41</v>
      </c>
      <c r="Q11" s="15" t="s">
        <v>41</v>
      </c>
      <c r="R11" s="15" t="s">
        <v>41</v>
      </c>
      <c r="S11" s="15" t="s">
        <v>41</v>
      </c>
      <c r="T11" s="15" t="s">
        <v>41</v>
      </c>
      <c r="U11" s="15" t="str">
        <f t="shared" si="3"/>
        <v>WO</v>
      </c>
      <c r="V11" s="15" t="s">
        <v>41</v>
      </c>
      <c r="W11" s="15" t="s">
        <v>41</v>
      </c>
      <c r="X11" s="15" t="s">
        <v>41</v>
      </c>
      <c r="Y11" s="15" t="s">
        <v>41</v>
      </c>
      <c r="Z11" s="15" t="s">
        <v>41</v>
      </c>
      <c r="AA11" s="15" t="s">
        <v>41</v>
      </c>
      <c r="AB11" s="15" t="str">
        <f t="shared" si="4"/>
        <v>WO</v>
      </c>
      <c r="AC11" s="15" t="s">
        <v>41</v>
      </c>
      <c r="AD11" s="15" t="s">
        <v>41</v>
      </c>
      <c r="AE11" s="15" t="s">
        <v>41</v>
      </c>
      <c r="AF11" s="15" t="s">
        <v>41</v>
      </c>
      <c r="AG11" s="15" t="s">
        <v>41</v>
      </c>
      <c r="AH11" s="15" t="s">
        <v>41</v>
      </c>
      <c r="AI11" s="15" t="str">
        <f t="shared" si="4"/>
        <v>WO</v>
      </c>
      <c r="AJ11" s="15" t="s">
        <v>41</v>
      </c>
      <c r="AK11" s="15" t="s">
        <v>41</v>
      </c>
      <c r="AL11" s="15" t="s">
        <v>43</v>
      </c>
      <c r="AM11" s="16"/>
      <c r="AN11" s="41"/>
      <c r="AO11" s="41"/>
      <c r="AP11" s="30"/>
      <c r="AQ11" s="9">
        <v>5</v>
      </c>
      <c r="AR11" s="9" t="s">
        <v>7</v>
      </c>
      <c r="AS11" s="9" t="str">
        <f t="shared" si="5"/>
        <v>April</v>
      </c>
      <c r="AT11" s="10">
        <v>10005</v>
      </c>
      <c r="AU11" s="15">
        <f t="shared" si="6"/>
        <v>25</v>
      </c>
      <c r="AV11" s="15">
        <f t="shared" si="7"/>
        <v>0</v>
      </c>
      <c r="AW11" s="15">
        <f t="shared" si="8"/>
        <v>1</v>
      </c>
      <c r="AX11" s="15">
        <f t="shared" si="9"/>
        <v>4</v>
      </c>
      <c r="AY11" s="25">
        <f t="shared" si="10"/>
        <v>30</v>
      </c>
      <c r="AZ11" s="25">
        <f>JanReport16[[#This Row],[Days]]-JanReport16[[#This Row],[Abesent]]</f>
        <v>30</v>
      </c>
      <c r="BA11" s="26">
        <v>18000</v>
      </c>
      <c r="BB11" s="27">
        <f>JanReport16[[#This Row],[Salary]]/JanReport16[[#This Row],[Days]]</f>
        <v>600</v>
      </c>
      <c r="BC11" s="27">
        <f>JanReport16[[#This Row],[PerDaySalary]]*JanReport16[[#This Row],[Abesent]]</f>
        <v>0</v>
      </c>
      <c r="BD11" s="27">
        <f>JanReport16[[#This Row],[Salary]]-JanReport16[[#This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4</v>
      </c>
      <c r="I12" s="15" t="s">
        <v>41</v>
      </c>
      <c r="J12" s="15" t="s">
        <v>41</v>
      </c>
      <c r="K12" s="15" t="s">
        <v>41</v>
      </c>
      <c r="L12" s="15" t="s">
        <v>41</v>
      </c>
      <c r="M12" s="15" t="s">
        <v>41</v>
      </c>
      <c r="N12" s="15" t="str">
        <f t="shared" si="3"/>
        <v>WO</v>
      </c>
      <c r="O12" s="15" t="s">
        <v>41</v>
      </c>
      <c r="P12" s="15" t="s">
        <v>41</v>
      </c>
      <c r="Q12" s="15" t="s">
        <v>41</v>
      </c>
      <c r="R12" s="15" t="s">
        <v>41</v>
      </c>
      <c r="S12" s="15" t="s">
        <v>41</v>
      </c>
      <c r="T12" s="15" t="s">
        <v>41</v>
      </c>
      <c r="U12" s="15" t="str">
        <f t="shared" si="3"/>
        <v>WO</v>
      </c>
      <c r="V12" s="15" t="s">
        <v>41</v>
      </c>
      <c r="W12" s="15" t="s">
        <v>41</v>
      </c>
      <c r="X12" s="15" t="s">
        <v>41</v>
      </c>
      <c r="Y12" s="15" t="s">
        <v>41</v>
      </c>
      <c r="Z12" s="15" t="s">
        <v>41</v>
      </c>
      <c r="AA12" s="15" t="s">
        <v>41</v>
      </c>
      <c r="AB12" s="15" t="str">
        <f t="shared" si="4"/>
        <v>WO</v>
      </c>
      <c r="AC12" s="15" t="s">
        <v>41</v>
      </c>
      <c r="AD12" s="15" t="s">
        <v>41</v>
      </c>
      <c r="AE12" s="15" t="s">
        <v>41</v>
      </c>
      <c r="AF12" s="15" t="s">
        <v>41</v>
      </c>
      <c r="AG12" s="15" t="s">
        <v>41</v>
      </c>
      <c r="AH12" s="15" t="s">
        <v>41</v>
      </c>
      <c r="AI12" s="15" t="str">
        <f t="shared" si="4"/>
        <v>WO</v>
      </c>
      <c r="AJ12" s="15" t="s">
        <v>41</v>
      </c>
      <c r="AK12" s="15" t="s">
        <v>41</v>
      </c>
      <c r="AL12" s="15" t="s">
        <v>43</v>
      </c>
      <c r="AM12" s="16"/>
      <c r="AN12" s="41"/>
      <c r="AO12" s="41"/>
      <c r="AP12" s="30"/>
      <c r="AQ12" s="9">
        <v>6</v>
      </c>
      <c r="AR12" s="9" t="s">
        <v>8</v>
      </c>
      <c r="AS12" s="9" t="str">
        <f t="shared" si="5"/>
        <v>April</v>
      </c>
      <c r="AT12" s="10">
        <v>10006</v>
      </c>
      <c r="AU12" s="15">
        <f t="shared" si="6"/>
        <v>25</v>
      </c>
      <c r="AV12" s="15">
        <f t="shared" si="7"/>
        <v>0</v>
      </c>
      <c r="AW12" s="15">
        <f t="shared" si="8"/>
        <v>1</v>
      </c>
      <c r="AX12" s="15">
        <f t="shared" si="9"/>
        <v>4</v>
      </c>
      <c r="AY12" s="25">
        <f t="shared" si="10"/>
        <v>30</v>
      </c>
      <c r="AZ12" s="25">
        <f>JanReport16[[#This Row],[Days]]-JanReport16[[#This Row],[Abesent]]</f>
        <v>30</v>
      </c>
      <c r="BA12" s="26">
        <v>17000</v>
      </c>
      <c r="BB12" s="27">
        <f>JanReport16[[#This Row],[Salary]]/JanReport16[[#This Row],[Days]]</f>
        <v>566.66666666666663</v>
      </c>
      <c r="BC12" s="27">
        <f>JanReport16[[#This Row],[PerDaySalary]]*JanReport16[[#This Row],[Abesent]]</f>
        <v>0</v>
      </c>
      <c r="BD12" s="27">
        <f>JanReport16[[#This Row],[Salary]]-JanReport16[[#This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4</v>
      </c>
      <c r="I13" s="15" t="s">
        <v>41</v>
      </c>
      <c r="J13" s="15" t="s">
        <v>41</v>
      </c>
      <c r="K13" s="15" t="s">
        <v>42</v>
      </c>
      <c r="L13" s="15" t="s">
        <v>41</v>
      </c>
      <c r="M13" s="15" t="s">
        <v>41</v>
      </c>
      <c r="N13" s="15" t="str">
        <f t="shared" si="3"/>
        <v>WO</v>
      </c>
      <c r="O13" s="15" t="s">
        <v>41</v>
      </c>
      <c r="P13" s="15" t="s">
        <v>41</v>
      </c>
      <c r="Q13" s="15" t="s">
        <v>42</v>
      </c>
      <c r="R13" s="15" t="s">
        <v>41</v>
      </c>
      <c r="S13" s="15" t="s">
        <v>41</v>
      </c>
      <c r="T13" s="15" t="s">
        <v>41</v>
      </c>
      <c r="U13" s="15" t="str">
        <f t="shared" si="3"/>
        <v>WO</v>
      </c>
      <c r="V13" s="15" t="s">
        <v>41</v>
      </c>
      <c r="W13" s="15" t="s">
        <v>41</v>
      </c>
      <c r="X13" s="15" t="s">
        <v>42</v>
      </c>
      <c r="Y13" s="15" t="s">
        <v>41</v>
      </c>
      <c r="Z13" s="15" t="s">
        <v>41</v>
      </c>
      <c r="AA13" s="15" t="s">
        <v>41</v>
      </c>
      <c r="AB13" s="15" t="str">
        <f t="shared" si="4"/>
        <v>WO</v>
      </c>
      <c r="AC13" s="15" t="s">
        <v>41</v>
      </c>
      <c r="AD13" s="15" t="s">
        <v>41</v>
      </c>
      <c r="AE13" s="15" t="s">
        <v>42</v>
      </c>
      <c r="AF13" s="15" t="s">
        <v>41</v>
      </c>
      <c r="AG13" s="15" t="s">
        <v>41</v>
      </c>
      <c r="AH13" s="15" t="s">
        <v>41</v>
      </c>
      <c r="AI13" s="15" t="str">
        <f t="shared" si="4"/>
        <v>WO</v>
      </c>
      <c r="AJ13" s="15" t="s">
        <v>41</v>
      </c>
      <c r="AK13" s="15" t="s">
        <v>42</v>
      </c>
      <c r="AL13" s="15" t="s">
        <v>43</v>
      </c>
      <c r="AM13" s="16"/>
      <c r="AN13" s="41"/>
      <c r="AO13" s="41"/>
      <c r="AP13" s="30"/>
      <c r="AQ13" s="9">
        <v>7</v>
      </c>
      <c r="AR13" s="9" t="s">
        <v>9</v>
      </c>
      <c r="AS13" s="9" t="str">
        <f t="shared" si="5"/>
        <v>April</v>
      </c>
      <c r="AT13" s="10">
        <v>10007</v>
      </c>
      <c r="AU13" s="15">
        <f t="shared" si="6"/>
        <v>20</v>
      </c>
      <c r="AV13" s="15">
        <f t="shared" si="7"/>
        <v>5</v>
      </c>
      <c r="AW13" s="15">
        <f t="shared" si="8"/>
        <v>1</v>
      </c>
      <c r="AX13" s="15">
        <f t="shared" si="9"/>
        <v>4</v>
      </c>
      <c r="AY13" s="25">
        <f t="shared" si="10"/>
        <v>30</v>
      </c>
      <c r="AZ13" s="25">
        <f>JanReport16[[#This Row],[Days]]-JanReport16[[#This Row],[Abesent]]</f>
        <v>25</v>
      </c>
      <c r="BA13" s="26">
        <v>15000</v>
      </c>
      <c r="BB13" s="27">
        <f>JanReport16[[#This Row],[Salary]]/JanReport16[[#This Row],[Days]]</f>
        <v>500</v>
      </c>
      <c r="BC13" s="27">
        <f>JanReport16[[#This Row],[PerDaySalary]]*JanReport16[[#This Row],[Abesent]]</f>
        <v>2500</v>
      </c>
      <c r="BD13" s="27">
        <f>JanReport16[[#This Row],[Salary]]-JanReport16[[#This Row],[Deduction]]</f>
        <v>12500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4</v>
      </c>
      <c r="I14" s="15" t="s">
        <v>41</v>
      </c>
      <c r="J14" s="15" t="s">
        <v>41</v>
      </c>
      <c r="K14" s="15" t="s">
        <v>41</v>
      </c>
      <c r="L14" s="15" t="s">
        <v>41</v>
      </c>
      <c r="M14" s="15" t="s">
        <v>41</v>
      </c>
      <c r="N14" s="15" t="str">
        <f t="shared" si="3"/>
        <v>WO</v>
      </c>
      <c r="O14" s="15" t="s">
        <v>41</v>
      </c>
      <c r="P14" s="15" t="s">
        <v>41</v>
      </c>
      <c r="Q14" s="15" t="s">
        <v>41</v>
      </c>
      <c r="R14" s="15" t="s">
        <v>41</v>
      </c>
      <c r="S14" s="15" t="s">
        <v>41</v>
      </c>
      <c r="T14" s="15" t="s">
        <v>41</v>
      </c>
      <c r="U14" s="15" t="str">
        <f t="shared" si="3"/>
        <v>WO</v>
      </c>
      <c r="V14" s="15" t="s">
        <v>41</v>
      </c>
      <c r="W14" s="15" t="s">
        <v>41</v>
      </c>
      <c r="X14" s="15" t="s">
        <v>41</v>
      </c>
      <c r="Y14" s="15" t="s">
        <v>41</v>
      </c>
      <c r="Z14" s="15" t="s">
        <v>41</v>
      </c>
      <c r="AA14" s="15" t="s">
        <v>41</v>
      </c>
      <c r="AB14" s="15" t="str">
        <f t="shared" si="4"/>
        <v>WO</v>
      </c>
      <c r="AC14" s="15" t="s">
        <v>41</v>
      </c>
      <c r="AD14" s="15" t="s">
        <v>41</v>
      </c>
      <c r="AE14" s="15" t="s">
        <v>41</v>
      </c>
      <c r="AF14" s="15" t="s">
        <v>41</v>
      </c>
      <c r="AG14" s="15" t="s">
        <v>41</v>
      </c>
      <c r="AH14" s="15" t="s">
        <v>41</v>
      </c>
      <c r="AI14" s="15" t="str">
        <f t="shared" si="4"/>
        <v>WO</v>
      </c>
      <c r="AJ14" s="15" t="s">
        <v>41</v>
      </c>
      <c r="AK14" s="15" t="s">
        <v>41</v>
      </c>
      <c r="AL14" s="15" t="s">
        <v>43</v>
      </c>
      <c r="AM14" s="16"/>
      <c r="AN14" s="41"/>
      <c r="AO14" s="41"/>
      <c r="AP14" s="30"/>
      <c r="AQ14" s="9">
        <v>8</v>
      </c>
      <c r="AR14" s="9" t="s">
        <v>10</v>
      </c>
      <c r="AS14" s="9" t="str">
        <f t="shared" si="5"/>
        <v>April</v>
      </c>
      <c r="AT14" s="10">
        <v>10008</v>
      </c>
      <c r="AU14" s="15">
        <f t="shared" si="6"/>
        <v>25</v>
      </c>
      <c r="AV14" s="15">
        <f t="shared" si="7"/>
        <v>0</v>
      </c>
      <c r="AW14" s="15">
        <f t="shared" si="8"/>
        <v>1</v>
      </c>
      <c r="AX14" s="15">
        <f t="shared" si="9"/>
        <v>4</v>
      </c>
      <c r="AY14" s="25">
        <f t="shared" si="10"/>
        <v>30</v>
      </c>
      <c r="AZ14" s="25">
        <f>JanReport16[[#This Row],[Days]]-JanReport16[[#This Row],[Abesent]]</f>
        <v>30</v>
      </c>
      <c r="BA14" s="26">
        <v>21000</v>
      </c>
      <c r="BB14" s="27">
        <f>JanReport16[[#This Row],[Salary]]/JanReport16[[#This Row],[Days]]</f>
        <v>700</v>
      </c>
      <c r="BC14" s="27">
        <f>JanReport16[[#This Row],[PerDaySalary]]*JanReport16[[#This Row],[Abesent]]</f>
        <v>0</v>
      </c>
      <c r="BD14" s="27">
        <f>JanReport16[[#This Row],[Salary]]-JanReport16[[#This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4</v>
      </c>
      <c r="I15" s="15" t="s">
        <v>41</v>
      </c>
      <c r="J15" s="15" t="s">
        <v>41</v>
      </c>
      <c r="K15" s="15" t="s">
        <v>41</v>
      </c>
      <c r="L15" s="15" t="s">
        <v>41</v>
      </c>
      <c r="M15" s="15" t="s">
        <v>41</v>
      </c>
      <c r="N15" s="15" t="str">
        <f t="shared" si="3"/>
        <v>WO</v>
      </c>
      <c r="O15" s="15" t="s">
        <v>41</v>
      </c>
      <c r="P15" s="15" t="s">
        <v>41</v>
      </c>
      <c r="Q15" s="15" t="s">
        <v>41</v>
      </c>
      <c r="R15" s="15" t="s">
        <v>41</v>
      </c>
      <c r="S15" s="15" t="s">
        <v>41</v>
      </c>
      <c r="T15" s="15" t="s">
        <v>41</v>
      </c>
      <c r="U15" s="15" t="str">
        <f t="shared" si="3"/>
        <v>WO</v>
      </c>
      <c r="V15" s="15" t="s">
        <v>41</v>
      </c>
      <c r="W15" s="15" t="s">
        <v>41</v>
      </c>
      <c r="X15" s="15" t="s">
        <v>41</v>
      </c>
      <c r="Y15" s="15" t="s">
        <v>41</v>
      </c>
      <c r="Z15" s="15" t="s">
        <v>41</v>
      </c>
      <c r="AA15" s="15" t="s">
        <v>41</v>
      </c>
      <c r="AB15" s="15" t="str">
        <f t="shared" si="4"/>
        <v>WO</v>
      </c>
      <c r="AC15" s="15" t="s">
        <v>41</v>
      </c>
      <c r="AD15" s="15" t="s">
        <v>41</v>
      </c>
      <c r="AE15" s="15" t="s">
        <v>41</v>
      </c>
      <c r="AF15" s="15" t="s">
        <v>41</v>
      </c>
      <c r="AG15" s="15" t="s">
        <v>41</v>
      </c>
      <c r="AH15" s="15" t="s">
        <v>41</v>
      </c>
      <c r="AI15" s="15" t="str">
        <f t="shared" si="4"/>
        <v>WO</v>
      </c>
      <c r="AJ15" s="15" t="s">
        <v>41</v>
      </c>
      <c r="AK15" s="15" t="s">
        <v>41</v>
      </c>
      <c r="AL15" s="15" t="s">
        <v>43</v>
      </c>
      <c r="AM15" s="16"/>
      <c r="AN15" s="41"/>
      <c r="AO15" s="41"/>
      <c r="AP15" s="30"/>
      <c r="AQ15" s="9">
        <v>9</v>
      </c>
      <c r="AR15" s="9" t="s">
        <v>11</v>
      </c>
      <c r="AS15" s="9" t="str">
        <f t="shared" si="5"/>
        <v>April</v>
      </c>
      <c r="AT15" s="10">
        <v>10009</v>
      </c>
      <c r="AU15" s="15">
        <f t="shared" si="6"/>
        <v>25</v>
      </c>
      <c r="AV15" s="15">
        <f t="shared" si="7"/>
        <v>0</v>
      </c>
      <c r="AW15" s="15">
        <f t="shared" si="8"/>
        <v>1</v>
      </c>
      <c r="AX15" s="15">
        <f t="shared" si="9"/>
        <v>4</v>
      </c>
      <c r="AY15" s="25">
        <f t="shared" si="10"/>
        <v>30</v>
      </c>
      <c r="AZ15" s="25">
        <f>JanReport16[[#This Row],[Days]]-JanReport16[[#This Row],[Abesent]]</f>
        <v>30</v>
      </c>
      <c r="BA15" s="26">
        <v>22000</v>
      </c>
      <c r="BB15" s="27">
        <f>JanReport16[[#This Row],[Salary]]/JanReport16[[#This Row],[Days]]</f>
        <v>733.33333333333337</v>
      </c>
      <c r="BC15" s="27">
        <f>JanReport16[[#This Row],[PerDaySalary]]*JanReport16[[#This Row],[Abesent]]</f>
        <v>0</v>
      </c>
      <c r="BD15" s="27">
        <f>JanReport16[[#This Row],[Salary]]-JanReport16[[#This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4</v>
      </c>
      <c r="I16" s="15" t="s">
        <v>41</v>
      </c>
      <c r="J16" s="15" t="s">
        <v>41</v>
      </c>
      <c r="K16" s="15" t="s">
        <v>41</v>
      </c>
      <c r="L16" s="15" t="s">
        <v>41</v>
      </c>
      <c r="M16" s="15" t="s">
        <v>41</v>
      </c>
      <c r="N16" s="15" t="str">
        <f t="shared" si="3"/>
        <v>WO</v>
      </c>
      <c r="O16" s="15" t="s">
        <v>41</v>
      </c>
      <c r="P16" s="15" t="s">
        <v>41</v>
      </c>
      <c r="Q16" s="15" t="s">
        <v>41</v>
      </c>
      <c r="R16" s="15" t="s">
        <v>41</v>
      </c>
      <c r="S16" s="15" t="s">
        <v>41</v>
      </c>
      <c r="T16" s="15" t="s">
        <v>41</v>
      </c>
      <c r="U16" s="15" t="str">
        <f t="shared" si="3"/>
        <v>WO</v>
      </c>
      <c r="V16" s="15" t="s">
        <v>41</v>
      </c>
      <c r="W16" s="15" t="s">
        <v>41</v>
      </c>
      <c r="X16" s="15" t="s">
        <v>41</v>
      </c>
      <c r="Y16" s="15" t="s">
        <v>41</v>
      </c>
      <c r="Z16" s="15" t="s">
        <v>41</v>
      </c>
      <c r="AA16" s="15" t="s">
        <v>41</v>
      </c>
      <c r="AB16" s="15" t="str">
        <f t="shared" si="4"/>
        <v>WO</v>
      </c>
      <c r="AC16" s="15" t="s">
        <v>41</v>
      </c>
      <c r="AD16" s="15" t="s">
        <v>41</v>
      </c>
      <c r="AE16" s="15" t="s">
        <v>41</v>
      </c>
      <c r="AF16" s="15" t="s">
        <v>41</v>
      </c>
      <c r="AG16" s="15" t="s">
        <v>41</v>
      </c>
      <c r="AH16" s="15" t="s">
        <v>41</v>
      </c>
      <c r="AI16" s="15" t="str">
        <f t="shared" si="4"/>
        <v>WO</v>
      </c>
      <c r="AJ16" s="15" t="s">
        <v>41</v>
      </c>
      <c r="AK16" s="15" t="s">
        <v>41</v>
      </c>
      <c r="AL16" s="15" t="s">
        <v>43</v>
      </c>
      <c r="AM16" s="16"/>
      <c r="AN16" s="41"/>
      <c r="AO16" s="41"/>
      <c r="AP16" s="30"/>
      <c r="AQ16" s="9">
        <v>10</v>
      </c>
      <c r="AR16" s="9" t="s">
        <v>12</v>
      </c>
      <c r="AS16" s="9" t="str">
        <f t="shared" si="5"/>
        <v>April</v>
      </c>
      <c r="AT16" s="10">
        <v>10010</v>
      </c>
      <c r="AU16" s="15">
        <f t="shared" si="6"/>
        <v>25</v>
      </c>
      <c r="AV16" s="15">
        <f t="shared" si="7"/>
        <v>0</v>
      </c>
      <c r="AW16" s="15">
        <f t="shared" si="8"/>
        <v>1</v>
      </c>
      <c r="AX16" s="15">
        <f t="shared" si="9"/>
        <v>4</v>
      </c>
      <c r="AY16" s="25">
        <f t="shared" si="10"/>
        <v>30</v>
      </c>
      <c r="AZ16" s="25">
        <f>JanReport16[[#This Row],[Days]]-JanReport16[[#This Row],[Abesent]]</f>
        <v>30</v>
      </c>
      <c r="BA16" s="26">
        <v>25000</v>
      </c>
      <c r="BB16" s="27">
        <f>JanReport16[[#This Row],[Salary]]/JanReport16[[#This Row],[Days]]</f>
        <v>833.33333333333337</v>
      </c>
      <c r="BC16" s="27">
        <f>JanReport16[[#This Row],[PerDaySalary]]*JanReport16[[#This Row],[Abesent]]</f>
        <v>0</v>
      </c>
      <c r="BD16" s="27">
        <f>JanReport16[[#This Row],[Salary]]-JanReport16[[#This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4</v>
      </c>
      <c r="I17" s="15" t="s">
        <v>41</v>
      </c>
      <c r="J17" s="15" t="s">
        <v>41</v>
      </c>
      <c r="K17" s="15" t="s">
        <v>41</v>
      </c>
      <c r="L17" s="15" t="s">
        <v>41</v>
      </c>
      <c r="M17" s="15" t="s">
        <v>41</v>
      </c>
      <c r="N17" s="15" t="str">
        <f t="shared" si="3"/>
        <v>WO</v>
      </c>
      <c r="O17" s="15" t="s">
        <v>41</v>
      </c>
      <c r="P17" s="15" t="s">
        <v>41</v>
      </c>
      <c r="Q17" s="15" t="s">
        <v>41</v>
      </c>
      <c r="R17" s="15" t="s">
        <v>41</v>
      </c>
      <c r="S17" s="15" t="s">
        <v>41</v>
      </c>
      <c r="T17" s="15" t="s">
        <v>42</v>
      </c>
      <c r="U17" s="15" t="str">
        <f t="shared" si="3"/>
        <v>WO</v>
      </c>
      <c r="V17" s="15" t="s">
        <v>41</v>
      </c>
      <c r="W17" s="15" t="s">
        <v>41</v>
      </c>
      <c r="X17" s="15" t="s">
        <v>41</v>
      </c>
      <c r="Y17" s="15" t="s">
        <v>41</v>
      </c>
      <c r="Z17" s="15" t="s">
        <v>41</v>
      </c>
      <c r="AA17" s="15" t="s">
        <v>42</v>
      </c>
      <c r="AB17" s="15" t="str">
        <f t="shared" si="4"/>
        <v>WO</v>
      </c>
      <c r="AC17" s="15" t="s">
        <v>41</v>
      </c>
      <c r="AD17" s="15" t="s">
        <v>41</v>
      </c>
      <c r="AE17" s="15" t="s">
        <v>41</v>
      </c>
      <c r="AF17" s="15" t="s">
        <v>41</v>
      </c>
      <c r="AG17" s="15" t="s">
        <v>41</v>
      </c>
      <c r="AH17" s="15" t="s">
        <v>42</v>
      </c>
      <c r="AI17" s="15" t="str">
        <f t="shared" si="4"/>
        <v>WO</v>
      </c>
      <c r="AJ17" s="15" t="s">
        <v>41</v>
      </c>
      <c r="AK17" s="15" t="s">
        <v>41</v>
      </c>
      <c r="AL17" s="15" t="s">
        <v>43</v>
      </c>
      <c r="AM17" s="16"/>
      <c r="AN17" s="41"/>
      <c r="AO17" s="41"/>
      <c r="AP17" s="30"/>
      <c r="AQ17" s="9">
        <v>11</v>
      </c>
      <c r="AR17" s="9" t="s">
        <v>13</v>
      </c>
      <c r="AS17" s="9" t="str">
        <f t="shared" si="5"/>
        <v>April</v>
      </c>
      <c r="AT17" s="10">
        <v>10011</v>
      </c>
      <c r="AU17" s="15">
        <f t="shared" si="6"/>
        <v>22</v>
      </c>
      <c r="AV17" s="15">
        <f t="shared" si="7"/>
        <v>3</v>
      </c>
      <c r="AW17" s="15">
        <f t="shared" si="8"/>
        <v>1</v>
      </c>
      <c r="AX17" s="15">
        <f t="shared" si="9"/>
        <v>4</v>
      </c>
      <c r="AY17" s="25">
        <f t="shared" si="10"/>
        <v>30</v>
      </c>
      <c r="AZ17" s="25">
        <f>JanReport16[[#This Row],[Days]]-JanReport16[[#This Row],[Abesent]]</f>
        <v>27</v>
      </c>
      <c r="BA17" s="26">
        <v>15000</v>
      </c>
      <c r="BB17" s="27">
        <f>JanReport16[[#This Row],[Salary]]/JanReport16[[#This Row],[Days]]</f>
        <v>500</v>
      </c>
      <c r="BC17" s="27">
        <f>JanReport16[[#This Row],[PerDaySalary]]*JanReport16[[#This Row],[Abesent]]</f>
        <v>1500</v>
      </c>
      <c r="BD17" s="27">
        <f>JanReport16[[#This Row],[Salary]]-JanReport16[[#This Row],[Deduction]]</f>
        <v>13500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4</v>
      </c>
      <c r="I18" s="15" t="s">
        <v>41</v>
      </c>
      <c r="J18" s="15" t="s">
        <v>41</v>
      </c>
      <c r="K18" s="15" t="s">
        <v>41</v>
      </c>
      <c r="L18" s="15" t="s">
        <v>41</v>
      </c>
      <c r="M18" s="15" t="s">
        <v>41</v>
      </c>
      <c r="N18" s="15" t="str">
        <f t="shared" si="3"/>
        <v>WO</v>
      </c>
      <c r="O18" s="15" t="s">
        <v>41</v>
      </c>
      <c r="P18" s="15" t="s">
        <v>41</v>
      </c>
      <c r="Q18" s="15" t="s">
        <v>41</v>
      </c>
      <c r="R18" s="15" t="s">
        <v>41</v>
      </c>
      <c r="S18" s="15" t="s">
        <v>41</v>
      </c>
      <c r="T18" s="15" t="s">
        <v>41</v>
      </c>
      <c r="U18" s="15" t="str">
        <f t="shared" si="3"/>
        <v>WO</v>
      </c>
      <c r="V18" s="15" t="s">
        <v>41</v>
      </c>
      <c r="W18" s="15" t="s">
        <v>41</v>
      </c>
      <c r="X18" s="15" t="s">
        <v>41</v>
      </c>
      <c r="Y18" s="15" t="s">
        <v>41</v>
      </c>
      <c r="Z18" s="15" t="s">
        <v>41</v>
      </c>
      <c r="AA18" s="15" t="s">
        <v>41</v>
      </c>
      <c r="AB18" s="15" t="str">
        <f t="shared" si="4"/>
        <v>WO</v>
      </c>
      <c r="AC18" s="15" t="s">
        <v>41</v>
      </c>
      <c r="AD18" s="15" t="s">
        <v>41</v>
      </c>
      <c r="AE18" s="15" t="s">
        <v>41</v>
      </c>
      <c r="AF18" s="15" t="s">
        <v>41</v>
      </c>
      <c r="AG18" s="15" t="s">
        <v>41</v>
      </c>
      <c r="AH18" s="15" t="s">
        <v>41</v>
      </c>
      <c r="AI18" s="15" t="str">
        <f t="shared" si="4"/>
        <v>WO</v>
      </c>
      <c r="AJ18" s="15" t="s">
        <v>41</v>
      </c>
      <c r="AK18" s="15" t="s">
        <v>41</v>
      </c>
      <c r="AL18" s="15" t="s">
        <v>43</v>
      </c>
      <c r="AM18" s="16"/>
      <c r="AN18" s="41"/>
      <c r="AO18" s="41"/>
      <c r="AP18" s="30"/>
      <c r="AQ18" s="9">
        <v>12</v>
      </c>
      <c r="AR18" s="9" t="s">
        <v>14</v>
      </c>
      <c r="AS18" s="9" t="str">
        <f t="shared" si="5"/>
        <v>April</v>
      </c>
      <c r="AT18" s="10">
        <v>10012</v>
      </c>
      <c r="AU18" s="15">
        <f t="shared" si="6"/>
        <v>25</v>
      </c>
      <c r="AV18" s="15">
        <f t="shared" si="7"/>
        <v>0</v>
      </c>
      <c r="AW18" s="15">
        <f t="shared" si="8"/>
        <v>1</v>
      </c>
      <c r="AX18" s="15">
        <f t="shared" si="9"/>
        <v>4</v>
      </c>
      <c r="AY18" s="25">
        <f t="shared" si="10"/>
        <v>30</v>
      </c>
      <c r="AZ18" s="25">
        <f>JanReport16[[#This Row],[Days]]-JanReport16[[#This Row],[Abesent]]</f>
        <v>30</v>
      </c>
      <c r="BA18" s="26">
        <v>19000</v>
      </c>
      <c r="BB18" s="27">
        <f>JanReport16[[#This Row],[Salary]]/JanReport16[[#This Row],[Days]]</f>
        <v>633.33333333333337</v>
      </c>
      <c r="BC18" s="27">
        <f>JanReport16[[#This Row],[PerDaySalary]]*JanReport16[[#This Row],[Abesent]]</f>
        <v>0</v>
      </c>
      <c r="BD18" s="27">
        <f>JanReport16[[#This Row],[Salary]]-JanReport16[[#This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4</v>
      </c>
      <c r="I19" s="15" t="s">
        <v>41</v>
      </c>
      <c r="J19" s="15" t="s">
        <v>41</v>
      </c>
      <c r="K19" s="15" t="s">
        <v>41</v>
      </c>
      <c r="L19" s="15" t="s">
        <v>41</v>
      </c>
      <c r="M19" s="15" t="s">
        <v>41</v>
      </c>
      <c r="N19" s="15" t="str">
        <f t="shared" si="3"/>
        <v>WO</v>
      </c>
      <c r="O19" s="15" t="s">
        <v>41</v>
      </c>
      <c r="P19" s="15" t="s">
        <v>41</v>
      </c>
      <c r="Q19" s="15" t="s">
        <v>41</v>
      </c>
      <c r="R19" s="15" t="s">
        <v>41</v>
      </c>
      <c r="S19" s="15" t="s">
        <v>41</v>
      </c>
      <c r="T19" s="15" t="s">
        <v>41</v>
      </c>
      <c r="U19" s="15" t="str">
        <f t="shared" si="3"/>
        <v>WO</v>
      </c>
      <c r="V19" s="15" t="s">
        <v>41</v>
      </c>
      <c r="W19" s="15" t="s">
        <v>41</v>
      </c>
      <c r="X19" s="15" t="s">
        <v>41</v>
      </c>
      <c r="Y19" s="15" t="s">
        <v>41</v>
      </c>
      <c r="Z19" s="15" t="s">
        <v>41</v>
      </c>
      <c r="AA19" s="15" t="s">
        <v>41</v>
      </c>
      <c r="AB19" s="15" t="str">
        <f t="shared" si="4"/>
        <v>WO</v>
      </c>
      <c r="AC19" s="15" t="s">
        <v>41</v>
      </c>
      <c r="AD19" s="15" t="s">
        <v>41</v>
      </c>
      <c r="AE19" s="15" t="s">
        <v>41</v>
      </c>
      <c r="AF19" s="15" t="s">
        <v>41</v>
      </c>
      <c r="AG19" s="15" t="s">
        <v>41</v>
      </c>
      <c r="AH19" s="15" t="s">
        <v>41</v>
      </c>
      <c r="AI19" s="15" t="str">
        <f t="shared" si="4"/>
        <v>WO</v>
      </c>
      <c r="AJ19" s="15" t="s">
        <v>41</v>
      </c>
      <c r="AK19" s="15" t="s">
        <v>41</v>
      </c>
      <c r="AL19" s="15" t="s">
        <v>43</v>
      </c>
      <c r="AM19" s="16"/>
      <c r="AN19" s="41"/>
      <c r="AO19" s="41"/>
      <c r="AP19" s="30"/>
      <c r="AQ19" s="9">
        <v>13</v>
      </c>
      <c r="AR19" s="9" t="s">
        <v>15</v>
      </c>
      <c r="AS19" s="9" t="str">
        <f t="shared" si="5"/>
        <v>April</v>
      </c>
      <c r="AT19" s="10">
        <v>10013</v>
      </c>
      <c r="AU19" s="15">
        <f t="shared" si="6"/>
        <v>25</v>
      </c>
      <c r="AV19" s="15">
        <f t="shared" si="7"/>
        <v>0</v>
      </c>
      <c r="AW19" s="15">
        <f t="shared" si="8"/>
        <v>1</v>
      </c>
      <c r="AX19" s="15">
        <f t="shared" si="9"/>
        <v>4</v>
      </c>
      <c r="AY19" s="25">
        <f t="shared" si="10"/>
        <v>30</v>
      </c>
      <c r="AZ19" s="25">
        <f>JanReport16[[#This Row],[Days]]-JanReport16[[#This Row],[Abesent]]</f>
        <v>30</v>
      </c>
      <c r="BA19" s="26">
        <v>20000</v>
      </c>
      <c r="BB19" s="27">
        <f>JanReport16[[#This Row],[Salary]]/JanReport16[[#This Row],[Days]]</f>
        <v>666.66666666666663</v>
      </c>
      <c r="BC19" s="27">
        <f>JanReport16[[#This Row],[PerDaySalary]]*JanReport16[[#This Row],[Abesent]]</f>
        <v>0</v>
      </c>
      <c r="BD19" s="27">
        <f>JanReport16[[#This Row],[Salary]]-JanReport16[[#This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4</v>
      </c>
      <c r="I20" s="15" t="s">
        <v>41</v>
      </c>
      <c r="J20" s="15" t="s">
        <v>41</v>
      </c>
      <c r="K20" s="15" t="s">
        <v>41</v>
      </c>
      <c r="L20" s="15" t="s">
        <v>41</v>
      </c>
      <c r="M20" s="15" t="s">
        <v>41</v>
      </c>
      <c r="N20" s="15" t="str">
        <f t="shared" si="3"/>
        <v>WO</v>
      </c>
      <c r="O20" s="15" t="s">
        <v>41</v>
      </c>
      <c r="P20" s="15" t="s">
        <v>41</v>
      </c>
      <c r="Q20" s="15" t="s">
        <v>41</v>
      </c>
      <c r="R20" s="15" t="s">
        <v>41</v>
      </c>
      <c r="S20" s="15" t="s">
        <v>41</v>
      </c>
      <c r="T20" s="15" t="s">
        <v>41</v>
      </c>
      <c r="U20" s="15" t="str">
        <f t="shared" si="3"/>
        <v>WO</v>
      </c>
      <c r="V20" s="15" t="s">
        <v>41</v>
      </c>
      <c r="W20" s="15" t="s">
        <v>41</v>
      </c>
      <c r="X20" s="15" t="s">
        <v>41</v>
      </c>
      <c r="Y20" s="15" t="s">
        <v>41</v>
      </c>
      <c r="Z20" s="15" t="s">
        <v>41</v>
      </c>
      <c r="AA20" s="15" t="s">
        <v>41</v>
      </c>
      <c r="AB20" s="15" t="str">
        <f t="shared" si="4"/>
        <v>WO</v>
      </c>
      <c r="AC20" s="15" t="s">
        <v>41</v>
      </c>
      <c r="AD20" s="15" t="s">
        <v>41</v>
      </c>
      <c r="AE20" s="15" t="s">
        <v>41</v>
      </c>
      <c r="AF20" s="15" t="s">
        <v>41</v>
      </c>
      <c r="AG20" s="15" t="s">
        <v>41</v>
      </c>
      <c r="AH20" s="15" t="s">
        <v>41</v>
      </c>
      <c r="AI20" s="15" t="str">
        <f t="shared" si="4"/>
        <v>WO</v>
      </c>
      <c r="AJ20" s="15" t="s">
        <v>41</v>
      </c>
      <c r="AK20" s="15" t="s">
        <v>41</v>
      </c>
      <c r="AL20" s="15" t="s">
        <v>43</v>
      </c>
      <c r="AM20" s="16"/>
      <c r="AN20" s="41"/>
      <c r="AO20" s="41"/>
      <c r="AP20" s="30"/>
      <c r="AQ20" s="9">
        <v>14</v>
      </c>
      <c r="AR20" s="9" t="s">
        <v>16</v>
      </c>
      <c r="AS20" s="9" t="str">
        <f t="shared" si="5"/>
        <v>April</v>
      </c>
      <c r="AT20" s="10">
        <v>10014</v>
      </c>
      <c r="AU20" s="15">
        <f t="shared" si="6"/>
        <v>25</v>
      </c>
      <c r="AV20" s="15">
        <f t="shared" si="7"/>
        <v>0</v>
      </c>
      <c r="AW20" s="15">
        <f t="shared" si="8"/>
        <v>1</v>
      </c>
      <c r="AX20" s="15">
        <f t="shared" si="9"/>
        <v>4</v>
      </c>
      <c r="AY20" s="25">
        <f t="shared" si="10"/>
        <v>30</v>
      </c>
      <c r="AZ20" s="25">
        <f>JanReport16[[#This Row],[Days]]-JanReport16[[#This Row],[Abesent]]</f>
        <v>30</v>
      </c>
      <c r="BA20" s="26">
        <v>19000</v>
      </c>
      <c r="BB20" s="27">
        <f>JanReport16[[#This Row],[Salary]]/JanReport16[[#This Row],[Days]]</f>
        <v>633.33333333333337</v>
      </c>
      <c r="BC20" s="27">
        <f>JanReport16[[#This Row],[PerDaySalary]]*JanReport16[[#This Row],[Abesent]]</f>
        <v>0</v>
      </c>
      <c r="BD20" s="27">
        <f>JanReport16[[#This Row],[Salary]]-JanReport16[[#This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4</v>
      </c>
      <c r="I21" s="15" t="s">
        <v>41</v>
      </c>
      <c r="J21" s="15" t="s">
        <v>41</v>
      </c>
      <c r="K21" s="15" t="s">
        <v>41</v>
      </c>
      <c r="L21" s="15" t="s">
        <v>41</v>
      </c>
      <c r="M21" s="15" t="s">
        <v>41</v>
      </c>
      <c r="N21" s="15" t="str">
        <f t="shared" si="3"/>
        <v>WO</v>
      </c>
      <c r="O21" s="15" t="s">
        <v>41</v>
      </c>
      <c r="P21" s="15" t="s">
        <v>41</v>
      </c>
      <c r="Q21" s="15" t="s">
        <v>41</v>
      </c>
      <c r="R21" s="15" t="s">
        <v>41</v>
      </c>
      <c r="S21" s="15" t="s">
        <v>41</v>
      </c>
      <c r="T21" s="15" t="s">
        <v>41</v>
      </c>
      <c r="U21" s="15" t="str">
        <f t="shared" si="3"/>
        <v>WO</v>
      </c>
      <c r="V21" s="15" t="s">
        <v>41</v>
      </c>
      <c r="W21" s="15" t="s">
        <v>41</v>
      </c>
      <c r="X21" s="15" t="s">
        <v>41</v>
      </c>
      <c r="Y21" s="15" t="s">
        <v>41</v>
      </c>
      <c r="Z21" s="15" t="s">
        <v>41</v>
      </c>
      <c r="AA21" s="15" t="s">
        <v>41</v>
      </c>
      <c r="AB21" s="15" t="str">
        <f t="shared" si="4"/>
        <v>WO</v>
      </c>
      <c r="AC21" s="15" t="s">
        <v>41</v>
      </c>
      <c r="AD21" s="15" t="s">
        <v>41</v>
      </c>
      <c r="AE21" s="15" t="s">
        <v>41</v>
      </c>
      <c r="AF21" s="15" t="s">
        <v>41</v>
      </c>
      <c r="AG21" s="15" t="s">
        <v>41</v>
      </c>
      <c r="AH21" s="15" t="s">
        <v>41</v>
      </c>
      <c r="AI21" s="15" t="str">
        <f t="shared" si="4"/>
        <v>WO</v>
      </c>
      <c r="AJ21" s="15" t="s">
        <v>41</v>
      </c>
      <c r="AK21" s="15" t="s">
        <v>41</v>
      </c>
      <c r="AL21" s="15" t="s">
        <v>43</v>
      </c>
      <c r="AM21" s="16"/>
      <c r="AN21" s="41"/>
      <c r="AO21" s="41"/>
      <c r="AP21" s="30"/>
      <c r="AQ21" s="9">
        <v>15</v>
      </c>
      <c r="AR21" s="9" t="s">
        <v>17</v>
      </c>
      <c r="AS21" s="9" t="str">
        <f t="shared" si="5"/>
        <v>April</v>
      </c>
      <c r="AT21" s="10">
        <v>10015</v>
      </c>
      <c r="AU21" s="15">
        <f t="shared" si="6"/>
        <v>25</v>
      </c>
      <c r="AV21" s="15">
        <f t="shared" si="7"/>
        <v>0</v>
      </c>
      <c r="AW21" s="15">
        <f t="shared" si="8"/>
        <v>1</v>
      </c>
      <c r="AX21" s="15">
        <f t="shared" si="9"/>
        <v>4</v>
      </c>
      <c r="AY21" s="25">
        <f t="shared" si="10"/>
        <v>30</v>
      </c>
      <c r="AZ21" s="25">
        <f>JanReport16[[#This Row],[Days]]-JanReport16[[#This Row],[Abesent]]</f>
        <v>30</v>
      </c>
      <c r="BA21" s="26">
        <v>25000</v>
      </c>
      <c r="BB21" s="27">
        <f>JanReport16[[#This Row],[Salary]]/JanReport16[[#This Row],[Days]]</f>
        <v>833.33333333333337</v>
      </c>
      <c r="BC21" s="27">
        <f>JanReport16[[#This Row],[PerDaySalary]]*JanReport16[[#This Row],[Abesent]]</f>
        <v>0</v>
      </c>
      <c r="BD21" s="27">
        <f>JanReport16[[#This Row],[Salary]]-JanReport16[[#This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4</v>
      </c>
      <c r="I22" s="15" t="s">
        <v>41</v>
      </c>
      <c r="J22" s="15" t="s">
        <v>41</v>
      </c>
      <c r="K22" s="15" t="s">
        <v>41</v>
      </c>
      <c r="L22" s="15" t="s">
        <v>42</v>
      </c>
      <c r="M22" s="15" t="s">
        <v>41</v>
      </c>
      <c r="N22" s="15" t="str">
        <f t="shared" si="3"/>
        <v>WO</v>
      </c>
      <c r="O22" s="15" t="s">
        <v>41</v>
      </c>
      <c r="P22" s="15" t="s">
        <v>41</v>
      </c>
      <c r="Q22" s="15" t="s">
        <v>41</v>
      </c>
      <c r="R22" s="15" t="s">
        <v>42</v>
      </c>
      <c r="S22" s="15" t="s">
        <v>41</v>
      </c>
      <c r="T22" s="15" t="s">
        <v>41</v>
      </c>
      <c r="U22" s="15" t="str">
        <f t="shared" si="3"/>
        <v>WO</v>
      </c>
      <c r="V22" s="15" t="s">
        <v>41</v>
      </c>
      <c r="W22" s="15" t="s">
        <v>41</v>
      </c>
      <c r="X22" s="15" t="s">
        <v>41</v>
      </c>
      <c r="Y22" s="15" t="s">
        <v>42</v>
      </c>
      <c r="Z22" s="15" t="s">
        <v>41</v>
      </c>
      <c r="AA22" s="15" t="s">
        <v>41</v>
      </c>
      <c r="AB22" s="15" t="str">
        <f t="shared" si="4"/>
        <v>WO</v>
      </c>
      <c r="AC22" s="15" t="s">
        <v>41</v>
      </c>
      <c r="AD22" s="15" t="s">
        <v>41</v>
      </c>
      <c r="AE22" s="15" t="s">
        <v>41</v>
      </c>
      <c r="AF22" s="15" t="s">
        <v>42</v>
      </c>
      <c r="AG22" s="15" t="s">
        <v>41</v>
      </c>
      <c r="AH22" s="15" t="s">
        <v>41</v>
      </c>
      <c r="AI22" s="15" t="str">
        <f t="shared" si="4"/>
        <v>WO</v>
      </c>
      <c r="AJ22" s="15" t="s">
        <v>41</v>
      </c>
      <c r="AK22" s="15" t="s">
        <v>41</v>
      </c>
      <c r="AL22" s="15" t="s">
        <v>43</v>
      </c>
      <c r="AM22" s="16"/>
      <c r="AN22" s="41"/>
      <c r="AO22" s="41"/>
      <c r="AP22" s="30"/>
      <c r="AQ22" s="9">
        <v>16</v>
      </c>
      <c r="AR22" s="9" t="s">
        <v>18</v>
      </c>
      <c r="AS22" s="9" t="str">
        <f t="shared" si="5"/>
        <v>April</v>
      </c>
      <c r="AT22" s="10">
        <v>10016</v>
      </c>
      <c r="AU22" s="15">
        <f t="shared" si="6"/>
        <v>21</v>
      </c>
      <c r="AV22" s="15">
        <f t="shared" si="7"/>
        <v>4</v>
      </c>
      <c r="AW22" s="15">
        <f t="shared" si="8"/>
        <v>1</v>
      </c>
      <c r="AX22" s="15">
        <f t="shared" si="9"/>
        <v>4</v>
      </c>
      <c r="AY22" s="25">
        <f t="shared" si="10"/>
        <v>30</v>
      </c>
      <c r="AZ22" s="25">
        <f>JanReport16[[#This Row],[Days]]-JanReport16[[#This Row],[Abesent]]</f>
        <v>26</v>
      </c>
      <c r="BA22" s="26">
        <v>32000</v>
      </c>
      <c r="BB22" s="27">
        <f>JanReport16[[#This Row],[Salary]]/JanReport16[[#This Row],[Days]]</f>
        <v>1066.6666666666667</v>
      </c>
      <c r="BC22" s="27">
        <f>JanReport16[[#This Row],[PerDaySalary]]*JanReport16[[#This Row],[Abesent]]</f>
        <v>4266.666666666667</v>
      </c>
      <c r="BD22" s="27">
        <f>JanReport16[[#This Row],[Salary]]-JanReport16[[#This Row],[Deduction]]</f>
        <v>27733.333333333332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4</v>
      </c>
      <c r="I23" s="15" t="s">
        <v>41</v>
      </c>
      <c r="J23" s="15" t="s">
        <v>41</v>
      </c>
      <c r="K23" s="15" t="s">
        <v>41</v>
      </c>
      <c r="L23" s="15" t="s">
        <v>41</v>
      </c>
      <c r="M23" s="15" t="s">
        <v>41</v>
      </c>
      <c r="N23" s="15" t="str">
        <f t="shared" ref="N23:U26" si="11">IF(N$5="Sun","WO","")</f>
        <v>WO</v>
      </c>
      <c r="O23" s="15" t="s">
        <v>41</v>
      </c>
      <c r="P23" s="15" t="s">
        <v>41</v>
      </c>
      <c r="Q23" s="15" t="s">
        <v>41</v>
      </c>
      <c r="R23" s="15" t="s">
        <v>41</v>
      </c>
      <c r="S23" s="15" t="s">
        <v>41</v>
      </c>
      <c r="T23" s="15" t="s">
        <v>41</v>
      </c>
      <c r="U23" s="15" t="str">
        <f t="shared" si="11"/>
        <v>WO</v>
      </c>
      <c r="V23" s="15" t="s">
        <v>41</v>
      </c>
      <c r="W23" s="15" t="s">
        <v>41</v>
      </c>
      <c r="X23" s="15" t="s">
        <v>41</v>
      </c>
      <c r="Y23" s="15" t="s">
        <v>41</v>
      </c>
      <c r="Z23" s="15" t="s">
        <v>41</v>
      </c>
      <c r="AA23" s="15" t="s">
        <v>41</v>
      </c>
      <c r="AB23" s="15" t="str">
        <f t="shared" ref="AB23:AI26" si="12">IF(AB$5="Sun","WO","")</f>
        <v>WO</v>
      </c>
      <c r="AC23" s="15" t="s">
        <v>41</v>
      </c>
      <c r="AD23" s="15" t="s">
        <v>41</v>
      </c>
      <c r="AE23" s="15" t="s">
        <v>41</v>
      </c>
      <c r="AF23" s="15" t="s">
        <v>41</v>
      </c>
      <c r="AG23" s="15" t="s">
        <v>41</v>
      </c>
      <c r="AH23" s="15" t="s">
        <v>41</v>
      </c>
      <c r="AI23" s="15" t="str">
        <f t="shared" si="12"/>
        <v>WO</v>
      </c>
      <c r="AJ23" s="15" t="s">
        <v>41</v>
      </c>
      <c r="AK23" s="15" t="s">
        <v>41</v>
      </c>
      <c r="AL23" s="15" t="s">
        <v>43</v>
      </c>
      <c r="AM23" s="16"/>
      <c r="AN23" s="41"/>
      <c r="AO23" s="41"/>
      <c r="AP23" s="30"/>
      <c r="AQ23" s="9">
        <v>17</v>
      </c>
      <c r="AR23" s="9" t="s">
        <v>19</v>
      </c>
      <c r="AS23" s="9" t="str">
        <f t="shared" si="5"/>
        <v>April</v>
      </c>
      <c r="AT23" s="10">
        <v>10017</v>
      </c>
      <c r="AU23" s="15">
        <f t="shared" si="6"/>
        <v>25</v>
      </c>
      <c r="AV23" s="15">
        <f t="shared" si="7"/>
        <v>0</v>
      </c>
      <c r="AW23" s="15">
        <f t="shared" si="8"/>
        <v>1</v>
      </c>
      <c r="AX23" s="15">
        <f t="shared" si="9"/>
        <v>4</v>
      </c>
      <c r="AY23" s="25">
        <f t="shared" si="10"/>
        <v>30</v>
      </c>
      <c r="AZ23" s="25">
        <f>JanReport16[[#This Row],[Days]]-JanReport16[[#This Row],[Abesent]]</f>
        <v>30</v>
      </c>
      <c r="BA23" s="26">
        <v>35000</v>
      </c>
      <c r="BB23" s="27">
        <f>JanReport16[[#This Row],[Salary]]/JanReport16[[#This Row],[Days]]</f>
        <v>1166.6666666666667</v>
      </c>
      <c r="BC23" s="27">
        <f>JanReport16[[#This Row],[PerDaySalary]]*JanReport16[[#This Row],[Abesent]]</f>
        <v>0</v>
      </c>
      <c r="BD23" s="27">
        <f>JanReport16[[#This Row],[Salary]]-JanReport16[[#This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4</v>
      </c>
      <c r="I24" s="15" t="s">
        <v>41</v>
      </c>
      <c r="J24" s="15" t="s">
        <v>41</v>
      </c>
      <c r="K24" s="15" t="s">
        <v>41</v>
      </c>
      <c r="L24" s="15" t="s">
        <v>41</v>
      </c>
      <c r="M24" s="15" t="s">
        <v>41</v>
      </c>
      <c r="N24" s="15" t="str">
        <f t="shared" si="11"/>
        <v>WO</v>
      </c>
      <c r="O24" s="15" t="s">
        <v>41</v>
      </c>
      <c r="P24" s="15" t="s">
        <v>41</v>
      </c>
      <c r="Q24" s="15" t="s">
        <v>41</v>
      </c>
      <c r="R24" s="15" t="s">
        <v>41</v>
      </c>
      <c r="S24" s="15" t="s">
        <v>41</v>
      </c>
      <c r="T24" s="15" t="s">
        <v>41</v>
      </c>
      <c r="U24" s="15" t="str">
        <f t="shared" si="11"/>
        <v>WO</v>
      </c>
      <c r="V24" s="15" t="s">
        <v>41</v>
      </c>
      <c r="W24" s="15" t="s">
        <v>41</v>
      </c>
      <c r="X24" s="15" t="s">
        <v>41</v>
      </c>
      <c r="Y24" s="15" t="s">
        <v>41</v>
      </c>
      <c r="Z24" s="15" t="s">
        <v>41</v>
      </c>
      <c r="AA24" s="15" t="s">
        <v>41</v>
      </c>
      <c r="AB24" s="15" t="str">
        <f t="shared" si="12"/>
        <v>WO</v>
      </c>
      <c r="AC24" s="15" t="s">
        <v>41</v>
      </c>
      <c r="AD24" s="15" t="s">
        <v>41</v>
      </c>
      <c r="AE24" s="15" t="s">
        <v>41</v>
      </c>
      <c r="AF24" s="15" t="s">
        <v>41</v>
      </c>
      <c r="AG24" s="15" t="s">
        <v>41</v>
      </c>
      <c r="AH24" s="15" t="s">
        <v>41</v>
      </c>
      <c r="AI24" s="15" t="str">
        <f t="shared" si="12"/>
        <v>WO</v>
      </c>
      <c r="AJ24" s="15" t="s">
        <v>41</v>
      </c>
      <c r="AK24" s="15" t="s">
        <v>41</v>
      </c>
      <c r="AL24" s="15" t="s">
        <v>43</v>
      </c>
      <c r="AM24" s="16"/>
      <c r="AN24" s="41"/>
      <c r="AO24" s="41"/>
      <c r="AP24" s="30"/>
      <c r="AQ24" s="9">
        <v>18</v>
      </c>
      <c r="AR24" s="9" t="s">
        <v>20</v>
      </c>
      <c r="AS24" s="9" t="str">
        <f t="shared" si="5"/>
        <v>April</v>
      </c>
      <c r="AT24" s="10">
        <v>10018</v>
      </c>
      <c r="AU24" s="15">
        <f t="shared" si="6"/>
        <v>25</v>
      </c>
      <c r="AV24" s="15">
        <f t="shared" si="7"/>
        <v>0</v>
      </c>
      <c r="AW24" s="15">
        <f t="shared" si="8"/>
        <v>1</v>
      </c>
      <c r="AX24" s="15">
        <f t="shared" si="9"/>
        <v>4</v>
      </c>
      <c r="AY24" s="25">
        <f t="shared" si="10"/>
        <v>30</v>
      </c>
      <c r="AZ24" s="25">
        <f>JanReport16[[#This Row],[Days]]-JanReport16[[#This Row],[Abesent]]</f>
        <v>30</v>
      </c>
      <c r="BA24" s="26">
        <v>28000</v>
      </c>
      <c r="BB24" s="27">
        <f>JanReport16[[#This Row],[Salary]]/JanReport16[[#This Row],[Days]]</f>
        <v>933.33333333333337</v>
      </c>
      <c r="BC24" s="27">
        <f>JanReport16[[#This Row],[PerDaySalary]]*JanReport16[[#This Row],[Abesent]]</f>
        <v>0</v>
      </c>
      <c r="BD24" s="27">
        <f>JanReport16[[#This Row],[Salary]]-JanReport16[[#This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4</v>
      </c>
      <c r="I25" s="15" t="s">
        <v>41</v>
      </c>
      <c r="J25" s="15" t="s">
        <v>41</v>
      </c>
      <c r="K25" s="15" t="s">
        <v>41</v>
      </c>
      <c r="L25" s="15" t="s">
        <v>41</v>
      </c>
      <c r="M25" s="15" t="s">
        <v>41</v>
      </c>
      <c r="N25" s="15" t="str">
        <f t="shared" si="11"/>
        <v>WO</v>
      </c>
      <c r="O25" s="15" t="s">
        <v>41</v>
      </c>
      <c r="P25" s="15" t="s">
        <v>41</v>
      </c>
      <c r="Q25" s="15" t="s">
        <v>41</v>
      </c>
      <c r="R25" s="15" t="s">
        <v>41</v>
      </c>
      <c r="S25" s="15" t="s">
        <v>41</v>
      </c>
      <c r="T25" s="15" t="s">
        <v>41</v>
      </c>
      <c r="U25" s="15" t="str">
        <f t="shared" si="11"/>
        <v>WO</v>
      </c>
      <c r="V25" s="15" t="s">
        <v>41</v>
      </c>
      <c r="W25" s="15" t="s">
        <v>41</v>
      </c>
      <c r="X25" s="15" t="s">
        <v>41</v>
      </c>
      <c r="Y25" s="15" t="s">
        <v>41</v>
      </c>
      <c r="Z25" s="15" t="s">
        <v>41</v>
      </c>
      <c r="AA25" s="15" t="s">
        <v>41</v>
      </c>
      <c r="AB25" s="15" t="str">
        <f t="shared" si="12"/>
        <v>WO</v>
      </c>
      <c r="AC25" s="15" t="s">
        <v>41</v>
      </c>
      <c r="AD25" s="15" t="s">
        <v>41</v>
      </c>
      <c r="AE25" s="15" t="s">
        <v>41</v>
      </c>
      <c r="AF25" s="15" t="s">
        <v>41</v>
      </c>
      <c r="AG25" s="15" t="s">
        <v>41</v>
      </c>
      <c r="AH25" s="15" t="s">
        <v>41</v>
      </c>
      <c r="AI25" s="15" t="str">
        <f t="shared" si="12"/>
        <v>WO</v>
      </c>
      <c r="AJ25" s="15" t="s">
        <v>41</v>
      </c>
      <c r="AK25" s="15" t="s">
        <v>41</v>
      </c>
      <c r="AL25" s="15" t="s">
        <v>43</v>
      </c>
      <c r="AM25" s="16"/>
      <c r="AN25" s="41"/>
      <c r="AO25" s="41"/>
      <c r="AP25" s="30"/>
      <c r="AQ25" s="9">
        <v>19</v>
      </c>
      <c r="AR25" s="9" t="s">
        <v>21</v>
      </c>
      <c r="AS25" s="9" t="str">
        <f t="shared" si="5"/>
        <v>April</v>
      </c>
      <c r="AT25" s="10">
        <v>10019</v>
      </c>
      <c r="AU25" s="15">
        <f t="shared" si="6"/>
        <v>25</v>
      </c>
      <c r="AV25" s="15">
        <f t="shared" si="7"/>
        <v>0</v>
      </c>
      <c r="AW25" s="15">
        <f t="shared" si="8"/>
        <v>1</v>
      </c>
      <c r="AX25" s="15">
        <f t="shared" si="9"/>
        <v>4</v>
      </c>
      <c r="AY25" s="25">
        <f t="shared" si="10"/>
        <v>30</v>
      </c>
      <c r="AZ25" s="25">
        <f>JanReport16[[#This Row],[Days]]-JanReport16[[#This Row],[Abesent]]</f>
        <v>30</v>
      </c>
      <c r="BA25" s="26">
        <v>19000</v>
      </c>
      <c r="BB25" s="27">
        <f>JanReport16[[#This Row],[Salary]]/JanReport16[[#This Row],[Days]]</f>
        <v>633.33333333333337</v>
      </c>
      <c r="BC25" s="27">
        <f>JanReport16[[#This Row],[PerDaySalary]]*JanReport16[[#This Row],[Abesent]]</f>
        <v>0</v>
      </c>
      <c r="BD25" s="27">
        <f>JanReport16[[#This Row],[Salary]]-JanReport16[[#This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4</v>
      </c>
      <c r="I26" s="17" t="s">
        <v>41</v>
      </c>
      <c r="J26" s="17" t="s">
        <v>41</v>
      </c>
      <c r="K26" s="17" t="s">
        <v>41</v>
      </c>
      <c r="L26" s="17" t="s">
        <v>41</v>
      </c>
      <c r="M26" s="17" t="s">
        <v>41</v>
      </c>
      <c r="N26" s="17" t="str">
        <f t="shared" si="11"/>
        <v>WO</v>
      </c>
      <c r="O26" s="17" t="s">
        <v>41</v>
      </c>
      <c r="P26" s="17" t="s">
        <v>41</v>
      </c>
      <c r="Q26" s="17" t="s">
        <v>41</v>
      </c>
      <c r="R26" s="17" t="s">
        <v>41</v>
      </c>
      <c r="S26" s="17" t="s">
        <v>41</v>
      </c>
      <c r="T26" s="17" t="s">
        <v>41</v>
      </c>
      <c r="U26" s="17" t="str">
        <f t="shared" si="11"/>
        <v>WO</v>
      </c>
      <c r="V26" s="17" t="s">
        <v>41</v>
      </c>
      <c r="W26" s="17" t="s">
        <v>41</v>
      </c>
      <c r="X26" s="17" t="s">
        <v>41</v>
      </c>
      <c r="Y26" s="17" t="s">
        <v>41</v>
      </c>
      <c r="Z26" s="17" t="s">
        <v>41</v>
      </c>
      <c r="AA26" s="17" t="s">
        <v>41</v>
      </c>
      <c r="AB26" s="17" t="str">
        <f t="shared" si="12"/>
        <v>WO</v>
      </c>
      <c r="AC26" s="17" t="s">
        <v>41</v>
      </c>
      <c r="AD26" s="17" t="s">
        <v>41</v>
      </c>
      <c r="AE26" s="17" t="s">
        <v>41</v>
      </c>
      <c r="AF26" s="17" t="s">
        <v>41</v>
      </c>
      <c r="AG26" s="17" t="s">
        <v>41</v>
      </c>
      <c r="AH26" s="17" t="s">
        <v>41</v>
      </c>
      <c r="AI26" s="17" t="str">
        <f t="shared" si="12"/>
        <v>WO</v>
      </c>
      <c r="AJ26" s="17" t="s">
        <v>41</v>
      </c>
      <c r="AK26" s="17" t="s">
        <v>41</v>
      </c>
      <c r="AL26" s="17" t="s">
        <v>43</v>
      </c>
      <c r="AM26" s="18"/>
      <c r="AN26" s="41"/>
      <c r="AO26" s="41"/>
      <c r="AP26" s="30"/>
      <c r="AQ26" s="9">
        <v>20</v>
      </c>
      <c r="AR26" s="9" t="s">
        <v>22</v>
      </c>
      <c r="AS26" s="9" t="str">
        <f t="shared" si="5"/>
        <v>April</v>
      </c>
      <c r="AT26" s="10">
        <v>10020</v>
      </c>
      <c r="AU26" s="15">
        <f t="shared" si="6"/>
        <v>25</v>
      </c>
      <c r="AV26" s="15">
        <f t="shared" si="7"/>
        <v>0</v>
      </c>
      <c r="AW26" s="15">
        <f t="shared" si="8"/>
        <v>1</v>
      </c>
      <c r="AX26" s="15">
        <f t="shared" si="9"/>
        <v>4</v>
      </c>
      <c r="AY26" s="25">
        <f t="shared" si="10"/>
        <v>30</v>
      </c>
      <c r="AZ26" s="25">
        <f>JanReport16[[#This Row],[Days]]-JanReport16[[#This Row],[Abesent]]</f>
        <v>30</v>
      </c>
      <c r="BA26" s="26">
        <v>20000</v>
      </c>
      <c r="BB26" s="27">
        <f>JanReport16[[#This Row],[Salary]]/JanReport16[[#This Row],[Days]]</f>
        <v>666.66666666666663</v>
      </c>
      <c r="BC26" s="27">
        <f>JanReport16[[#This Row],[PerDaySalary]]*JanReport16[[#This Row],[Abesent]]</f>
        <v>0</v>
      </c>
      <c r="BD26" s="27">
        <f>JanReport16[[#This Row],[Salary]]-JanReport16[[#This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35" priority="1" operator="containsText" text="L">
      <formula>NOT(ISERROR(SEARCH("L",I7)))</formula>
    </cfRule>
    <cfRule type="containsText" dxfId="34" priority="2" operator="containsText" text="A">
      <formula>NOT(ISERROR(SEARCH("A",I7)))</formula>
    </cfRule>
    <cfRule type="containsText" dxfId="33" priority="3" operator="containsText" text="P">
      <formula>NOT(ISERROR(SEARCH("P",I7)))</formula>
    </cfRule>
    <cfRule type="containsText" dxfId="32" priority="4" operator="containsText" text="WO">
      <formula>NOT(ISERROR(SEARCH("WO",I7)))</formula>
    </cfRule>
  </conditionalFormatting>
  <dataValidations count="1">
    <dataValidation type="list" allowBlank="1" showInputMessage="1" showErrorMessage="1" sqref="AC7:AH26 I7:M26 O7:T26 V7:AA26 AJ7:AL26" xr:uid="{E2C50833-8AA9-4F3C-BAC9-75F60B89B3ED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D42483-ABF7-4009-9F3D-59F6CFF0D9E8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15576FD-41D7-4253-B3D8-231695F3F3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Apr!AU7:AW7</xm:f>
              <xm:sqref>BE7</xm:sqref>
            </x14:sparkline>
            <x14:sparkline>
              <xm:f>Apr!AU8:AW8</xm:f>
              <xm:sqref>BE8</xm:sqref>
            </x14:sparkline>
            <x14:sparkline>
              <xm:f>Apr!AU9:AW9</xm:f>
              <xm:sqref>BE9</xm:sqref>
            </x14:sparkline>
            <x14:sparkline>
              <xm:f>Apr!AU10:AW10</xm:f>
              <xm:sqref>BE10</xm:sqref>
            </x14:sparkline>
            <x14:sparkline>
              <xm:f>Apr!AU11:AW11</xm:f>
              <xm:sqref>BE11</xm:sqref>
            </x14:sparkline>
            <x14:sparkline>
              <xm:f>Apr!AU12:AW12</xm:f>
              <xm:sqref>BE12</xm:sqref>
            </x14:sparkline>
            <x14:sparkline>
              <xm:f>Apr!AU13:AW13</xm:f>
              <xm:sqref>BE13</xm:sqref>
            </x14:sparkline>
            <x14:sparkline>
              <xm:f>Apr!AU14:AW14</xm:f>
              <xm:sqref>BE14</xm:sqref>
            </x14:sparkline>
            <x14:sparkline>
              <xm:f>Apr!AU15:AW15</xm:f>
              <xm:sqref>BE15</xm:sqref>
            </x14:sparkline>
            <x14:sparkline>
              <xm:f>Apr!AU16:AW16</xm:f>
              <xm:sqref>BE16</xm:sqref>
            </x14:sparkline>
            <x14:sparkline>
              <xm:f>Apr!AU17:AW17</xm:f>
              <xm:sqref>BE17</xm:sqref>
            </x14:sparkline>
            <x14:sparkline>
              <xm:f>Apr!AU18:AW18</xm:f>
              <xm:sqref>BE18</xm:sqref>
            </x14:sparkline>
            <x14:sparkline>
              <xm:f>Apr!AU19:AW19</xm:f>
              <xm:sqref>BE19</xm:sqref>
            </x14:sparkline>
            <x14:sparkline>
              <xm:f>Apr!AU20:AW20</xm:f>
              <xm:sqref>BE20</xm:sqref>
            </x14:sparkline>
            <x14:sparkline>
              <xm:f>Apr!AU21:AW21</xm:f>
              <xm:sqref>BE21</xm:sqref>
            </x14:sparkline>
            <x14:sparkline>
              <xm:f>Apr!AU22:AW22</xm:f>
              <xm:sqref>BE22</xm:sqref>
            </x14:sparkline>
            <x14:sparkline>
              <xm:f>Apr!AU23:AW23</xm:f>
              <xm:sqref>BE23</xm:sqref>
            </x14:sparkline>
            <x14:sparkline>
              <xm:f>Apr!AU24:AW24</xm:f>
              <xm:sqref>BE24</xm:sqref>
            </x14:sparkline>
            <x14:sparkline>
              <xm:f>Apr!AU25:AW25</xm:f>
              <xm:sqref>BE25</xm:sqref>
            </x14:sparkline>
            <x14:sparkline>
              <xm:f>Apr!AU26:AW26</xm:f>
              <xm:sqref>BE26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6D06-9DDC-4283-ACFF-D84A97473E7A}">
  <dimension ref="A1:BI32"/>
  <sheetViews>
    <sheetView zoomScaleNormal="100" workbookViewId="0">
      <selection activeCell="AV7" sqref="AV7"/>
    </sheetView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45778</v>
      </c>
      <c r="G4" s="42" t="str">
        <f>TEXT(F4,"MMMM")</f>
        <v>May</v>
      </c>
      <c r="H4" s="44">
        <f>(DATEDIF(F4,J4,"D"))+1</f>
        <v>31</v>
      </c>
      <c r="I4" s="42" t="s">
        <v>26</v>
      </c>
      <c r="J4" s="47">
        <f>EOMONTH(F4,0)</f>
        <v>45808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Thu</v>
      </c>
      <c r="J5" s="13" t="str">
        <f t="shared" ref="J5:AM5" si="0">TEXT(J6,"ddd")</f>
        <v>Fri</v>
      </c>
      <c r="K5" s="13" t="str">
        <f t="shared" si="0"/>
        <v>Sat</v>
      </c>
      <c r="L5" s="13" t="str">
        <f t="shared" si="0"/>
        <v>Sun</v>
      </c>
      <c r="M5" s="13" t="str">
        <f t="shared" si="0"/>
        <v>Mon</v>
      </c>
      <c r="N5" s="13" t="str">
        <f t="shared" si="0"/>
        <v>Tue</v>
      </c>
      <c r="O5" s="13" t="str">
        <f t="shared" si="0"/>
        <v>Wed</v>
      </c>
      <c r="P5" s="13" t="str">
        <f t="shared" si="0"/>
        <v>Thu</v>
      </c>
      <c r="Q5" s="13" t="str">
        <f t="shared" si="0"/>
        <v>Fri</v>
      </c>
      <c r="R5" s="13" t="str">
        <f t="shared" si="0"/>
        <v>Sat</v>
      </c>
      <c r="S5" s="13" t="str">
        <f t="shared" si="0"/>
        <v>Sun</v>
      </c>
      <c r="T5" s="13" t="str">
        <f t="shared" si="0"/>
        <v>Mon</v>
      </c>
      <c r="U5" s="13" t="str">
        <f t="shared" si="0"/>
        <v>Tue</v>
      </c>
      <c r="V5" s="13" t="str">
        <f t="shared" si="0"/>
        <v>Wed</v>
      </c>
      <c r="W5" s="13" t="str">
        <f t="shared" si="0"/>
        <v>Thu</v>
      </c>
      <c r="X5" s="13" t="str">
        <f t="shared" si="0"/>
        <v>Fri</v>
      </c>
      <c r="Y5" s="13" t="str">
        <f t="shared" si="0"/>
        <v>Sat</v>
      </c>
      <c r="Z5" s="13" t="str">
        <f t="shared" si="0"/>
        <v>Sun</v>
      </c>
      <c r="AA5" s="13" t="str">
        <f t="shared" si="0"/>
        <v>Mon</v>
      </c>
      <c r="AB5" s="13" t="str">
        <f t="shared" si="0"/>
        <v>Tue</v>
      </c>
      <c r="AC5" s="13" t="str">
        <f t="shared" si="0"/>
        <v>Wed</v>
      </c>
      <c r="AD5" s="13" t="str">
        <f t="shared" si="0"/>
        <v>Thu</v>
      </c>
      <c r="AE5" s="13" t="str">
        <f t="shared" si="0"/>
        <v>Fri</v>
      </c>
      <c r="AF5" s="13" t="str">
        <f t="shared" si="0"/>
        <v>Sat</v>
      </c>
      <c r="AG5" s="13" t="str">
        <f t="shared" si="0"/>
        <v>Sun</v>
      </c>
      <c r="AH5" s="13" t="str">
        <f t="shared" si="0"/>
        <v>Mon</v>
      </c>
      <c r="AI5" s="13" t="str">
        <f t="shared" si="0"/>
        <v>Tue</v>
      </c>
      <c r="AJ5" s="13" t="str">
        <f t="shared" si="0"/>
        <v>Wed</v>
      </c>
      <c r="AK5" s="13" t="str">
        <f t="shared" si="0"/>
        <v>Thu</v>
      </c>
      <c r="AL5" s="13" t="str">
        <f t="shared" si="0"/>
        <v>Fri</v>
      </c>
      <c r="AM5" s="14" t="str">
        <f t="shared" si="0"/>
        <v>Sat</v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45778</v>
      </c>
      <c r="J6" s="34">
        <f>IF(I6&lt;$J$4,I6+1,"")</f>
        <v>45779</v>
      </c>
      <c r="K6" s="34">
        <f t="shared" ref="K6:AM6" si="1">IF(J6&lt;$J$4,J6+1,"")</f>
        <v>45780</v>
      </c>
      <c r="L6" s="34">
        <f t="shared" si="1"/>
        <v>45781</v>
      </c>
      <c r="M6" s="34">
        <f t="shared" si="1"/>
        <v>45782</v>
      </c>
      <c r="N6" s="34">
        <f t="shared" si="1"/>
        <v>45783</v>
      </c>
      <c r="O6" s="34">
        <f t="shared" si="1"/>
        <v>45784</v>
      </c>
      <c r="P6" s="34">
        <f t="shared" si="1"/>
        <v>45785</v>
      </c>
      <c r="Q6" s="34">
        <f t="shared" si="1"/>
        <v>45786</v>
      </c>
      <c r="R6" s="34">
        <f t="shared" si="1"/>
        <v>45787</v>
      </c>
      <c r="S6" s="34">
        <f t="shared" si="1"/>
        <v>45788</v>
      </c>
      <c r="T6" s="34">
        <f t="shared" si="1"/>
        <v>45789</v>
      </c>
      <c r="U6" s="34">
        <f t="shared" si="1"/>
        <v>45790</v>
      </c>
      <c r="V6" s="34">
        <f t="shared" si="1"/>
        <v>45791</v>
      </c>
      <c r="W6" s="34">
        <f t="shared" si="1"/>
        <v>45792</v>
      </c>
      <c r="X6" s="34">
        <f t="shared" si="1"/>
        <v>45793</v>
      </c>
      <c r="Y6" s="34">
        <f t="shared" si="1"/>
        <v>45794</v>
      </c>
      <c r="Z6" s="34">
        <f t="shared" si="1"/>
        <v>45795</v>
      </c>
      <c r="AA6" s="34">
        <f t="shared" si="1"/>
        <v>45796</v>
      </c>
      <c r="AB6" s="34">
        <f t="shared" si="1"/>
        <v>45797</v>
      </c>
      <c r="AC6" s="34">
        <f t="shared" si="1"/>
        <v>45798</v>
      </c>
      <c r="AD6" s="34">
        <f t="shared" si="1"/>
        <v>45799</v>
      </c>
      <c r="AE6" s="34">
        <f t="shared" si="1"/>
        <v>45800</v>
      </c>
      <c r="AF6" s="34">
        <f t="shared" si="1"/>
        <v>45801</v>
      </c>
      <c r="AG6" s="34">
        <f t="shared" si="1"/>
        <v>45802</v>
      </c>
      <c r="AH6" s="34">
        <f t="shared" si="1"/>
        <v>45803</v>
      </c>
      <c r="AI6" s="34">
        <f t="shared" si="1"/>
        <v>45804</v>
      </c>
      <c r="AJ6" s="34">
        <f t="shared" si="1"/>
        <v>45805</v>
      </c>
      <c r="AK6" s="34">
        <f t="shared" si="1"/>
        <v>45806</v>
      </c>
      <c r="AL6" s="34">
        <f t="shared" si="1"/>
        <v>45807</v>
      </c>
      <c r="AM6" s="36">
        <f t="shared" si="1"/>
        <v>45808</v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4</v>
      </c>
      <c r="I7" s="15" t="s">
        <v>41</v>
      </c>
      <c r="J7" s="15" t="s">
        <v>41</v>
      </c>
      <c r="K7" s="15"/>
      <c r="L7" s="15" t="str">
        <f t="shared" ref="L7:S22" si="3">IF(L$5="Sun","WO","")</f>
        <v>WO</v>
      </c>
      <c r="M7" s="15" t="s">
        <v>41</v>
      </c>
      <c r="N7" s="15" t="s">
        <v>41</v>
      </c>
      <c r="O7" s="15" t="s">
        <v>41</v>
      </c>
      <c r="P7" s="15" t="s">
        <v>41</v>
      </c>
      <c r="Q7" s="15" t="s">
        <v>41</v>
      </c>
      <c r="R7" s="15" t="s">
        <v>41</v>
      </c>
      <c r="S7" s="15" t="str">
        <f t="shared" si="3"/>
        <v>WO</v>
      </c>
      <c r="T7" s="15" t="s">
        <v>41</v>
      </c>
      <c r="U7" s="15" t="s">
        <v>41</v>
      </c>
      <c r="V7" s="15" t="s">
        <v>41</v>
      </c>
      <c r="W7" s="15" t="s">
        <v>41</v>
      </c>
      <c r="X7" s="15" t="s">
        <v>41</v>
      </c>
      <c r="Y7" s="15" t="s">
        <v>41</v>
      </c>
      <c r="Z7" s="15" t="str">
        <f t="shared" ref="Z7:AG22" si="4">IF(Z$5="Sun","WO","")</f>
        <v>WO</v>
      </c>
      <c r="AA7" s="15" t="s">
        <v>41</v>
      </c>
      <c r="AB7" s="15" t="s">
        <v>41</v>
      </c>
      <c r="AC7" s="15" t="s">
        <v>41</v>
      </c>
      <c r="AD7" s="15" t="s">
        <v>41</v>
      </c>
      <c r="AE7" s="15" t="s">
        <v>41</v>
      </c>
      <c r="AF7" s="15" t="s">
        <v>41</v>
      </c>
      <c r="AG7" s="15" t="str">
        <f t="shared" si="4"/>
        <v>WO</v>
      </c>
      <c r="AH7" s="15" t="s">
        <v>41</v>
      </c>
      <c r="AI7" s="15" t="s">
        <v>41</v>
      </c>
      <c r="AJ7" s="15" t="s">
        <v>41</v>
      </c>
      <c r="AK7" s="15" t="s">
        <v>41</v>
      </c>
      <c r="AL7" s="15" t="s">
        <v>41</v>
      </c>
      <c r="AM7" s="16" t="s">
        <v>43</v>
      </c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May</v>
      </c>
      <c r="AT7" s="7">
        <v>10001</v>
      </c>
      <c r="AU7" s="21">
        <f t="shared" ref="AU7:AU26" si="6">COUNTIF($I7:$AM7,"P")</f>
        <v>25</v>
      </c>
      <c r="AV7" s="21">
        <f t="shared" ref="AV7:AV26" si="7">COUNTIF($I7:$AM7,"A")</f>
        <v>0</v>
      </c>
      <c r="AW7" s="21">
        <f t="shared" ref="AW7:AW26" si="8">COUNTIF($I7:$AM7,"L")</f>
        <v>1</v>
      </c>
      <c r="AX7" s="21">
        <f t="shared" ref="AX7:AX26" si="9">$H$7</f>
        <v>4</v>
      </c>
      <c r="AY7" s="22">
        <f t="shared" ref="AY7:AY26" si="10">$H$4</f>
        <v>31</v>
      </c>
      <c r="AZ7" s="22">
        <f>JanReport17[[#This Row],[Days]]-JanReport17[[#This Row],[Abesent]]</f>
        <v>31</v>
      </c>
      <c r="BA7" s="23">
        <v>10000</v>
      </c>
      <c r="BB7" s="24">
        <f>JanReport17[[#This Row],[Salary]]/JanReport17[[#This Row],[Days]]</f>
        <v>322.58064516129031</v>
      </c>
      <c r="BC7" s="24">
        <f>JanReport17[[#This Row],[PerDaySalary]]*JanReport17[[#This Row],[Abesent]]</f>
        <v>0</v>
      </c>
      <c r="BD7" s="24">
        <f>JanReport17[[#This Row],[Salary]]-JanReport17[[#This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4</v>
      </c>
      <c r="I8" s="15" t="s">
        <v>41</v>
      </c>
      <c r="J8" s="15" t="s">
        <v>41</v>
      </c>
      <c r="K8" s="15"/>
      <c r="L8" s="15" t="str">
        <f t="shared" si="3"/>
        <v>WO</v>
      </c>
      <c r="M8" s="15" t="s">
        <v>41</v>
      </c>
      <c r="N8" s="15" t="s">
        <v>41</v>
      </c>
      <c r="O8" s="15" t="s">
        <v>41</v>
      </c>
      <c r="P8" s="15" t="s">
        <v>41</v>
      </c>
      <c r="Q8" s="15" t="s">
        <v>41</v>
      </c>
      <c r="R8" s="15" t="s">
        <v>41</v>
      </c>
      <c r="S8" s="15" t="str">
        <f t="shared" si="3"/>
        <v>WO</v>
      </c>
      <c r="T8" s="15" t="s">
        <v>41</v>
      </c>
      <c r="U8" s="15" t="s">
        <v>41</v>
      </c>
      <c r="V8" s="15" t="s">
        <v>41</v>
      </c>
      <c r="W8" s="15" t="s">
        <v>41</v>
      </c>
      <c r="X8" s="15" t="s">
        <v>41</v>
      </c>
      <c r="Y8" s="15" t="s">
        <v>41</v>
      </c>
      <c r="Z8" s="15" t="str">
        <f t="shared" si="4"/>
        <v>WO</v>
      </c>
      <c r="AA8" s="15" t="s">
        <v>41</v>
      </c>
      <c r="AB8" s="15" t="s">
        <v>41</v>
      </c>
      <c r="AC8" s="15" t="s">
        <v>41</v>
      </c>
      <c r="AD8" s="15" t="s">
        <v>41</v>
      </c>
      <c r="AE8" s="15" t="s">
        <v>41</v>
      </c>
      <c r="AF8" s="15" t="s">
        <v>41</v>
      </c>
      <c r="AG8" s="15" t="str">
        <f t="shared" si="4"/>
        <v>WO</v>
      </c>
      <c r="AH8" s="15" t="s">
        <v>41</v>
      </c>
      <c r="AI8" s="15" t="s">
        <v>41</v>
      </c>
      <c r="AJ8" s="15" t="s">
        <v>41</v>
      </c>
      <c r="AK8" s="15" t="s">
        <v>41</v>
      </c>
      <c r="AL8" s="15" t="s">
        <v>41</v>
      </c>
      <c r="AM8" s="16" t="s">
        <v>43</v>
      </c>
      <c r="AN8" s="41"/>
      <c r="AO8" s="41"/>
      <c r="AP8" s="31"/>
      <c r="AQ8" s="9">
        <v>2</v>
      </c>
      <c r="AR8" s="9" t="s">
        <v>4</v>
      </c>
      <c r="AS8" s="9" t="str">
        <f t="shared" si="5"/>
        <v>May</v>
      </c>
      <c r="AT8" s="10">
        <v>10002</v>
      </c>
      <c r="AU8" s="15">
        <f t="shared" si="6"/>
        <v>25</v>
      </c>
      <c r="AV8" s="15">
        <f t="shared" si="7"/>
        <v>0</v>
      </c>
      <c r="AW8" s="15">
        <f t="shared" si="8"/>
        <v>1</v>
      </c>
      <c r="AX8" s="15">
        <f t="shared" si="9"/>
        <v>4</v>
      </c>
      <c r="AY8" s="25">
        <f t="shared" si="10"/>
        <v>31</v>
      </c>
      <c r="AZ8" s="25">
        <f>JanReport17[[#This Row],[Days]]-JanReport17[[#This Row],[Abesent]]</f>
        <v>31</v>
      </c>
      <c r="BA8" s="26">
        <v>15000</v>
      </c>
      <c r="BB8" s="27">
        <f>JanReport17[[#This Row],[Salary]]/JanReport17[[#This Row],[Days]]</f>
        <v>483.87096774193549</v>
      </c>
      <c r="BC8" s="27">
        <f>JanReport17[[#This Row],[PerDaySalary]]*JanReport17[[#This Row],[Abesent]]</f>
        <v>0</v>
      </c>
      <c r="BD8" s="27">
        <f>JanReport17[[#This Row],[Salary]]-JanReport17[[#This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4</v>
      </c>
      <c r="I9" s="15" t="s">
        <v>41</v>
      </c>
      <c r="J9" s="15" t="s">
        <v>41</v>
      </c>
      <c r="K9" s="15"/>
      <c r="L9" s="15" t="str">
        <f t="shared" si="3"/>
        <v>WO</v>
      </c>
      <c r="M9" s="15" t="s">
        <v>41</v>
      </c>
      <c r="N9" s="15" t="s">
        <v>41</v>
      </c>
      <c r="O9" s="15" t="s">
        <v>41</v>
      </c>
      <c r="P9" s="15" t="s">
        <v>41</v>
      </c>
      <c r="Q9" s="15" t="s">
        <v>41</v>
      </c>
      <c r="R9" s="15" t="s">
        <v>41</v>
      </c>
      <c r="S9" s="15" t="str">
        <f t="shared" si="3"/>
        <v>WO</v>
      </c>
      <c r="T9" s="15" t="s">
        <v>41</v>
      </c>
      <c r="U9" s="15" t="s">
        <v>41</v>
      </c>
      <c r="V9" s="15" t="s">
        <v>41</v>
      </c>
      <c r="W9" s="15" t="s">
        <v>41</v>
      </c>
      <c r="X9" s="15" t="s">
        <v>41</v>
      </c>
      <c r="Y9" s="15" t="s">
        <v>41</v>
      </c>
      <c r="Z9" s="15" t="str">
        <f t="shared" si="4"/>
        <v>WO</v>
      </c>
      <c r="AA9" s="15" t="s">
        <v>41</v>
      </c>
      <c r="AB9" s="15" t="s">
        <v>41</v>
      </c>
      <c r="AC9" s="15" t="s">
        <v>41</v>
      </c>
      <c r="AD9" s="15" t="s">
        <v>41</v>
      </c>
      <c r="AE9" s="15" t="s">
        <v>41</v>
      </c>
      <c r="AF9" s="15" t="s">
        <v>41</v>
      </c>
      <c r="AG9" s="15" t="str">
        <f t="shared" si="4"/>
        <v>WO</v>
      </c>
      <c r="AH9" s="15" t="s">
        <v>41</v>
      </c>
      <c r="AI9" s="15" t="s">
        <v>41</v>
      </c>
      <c r="AJ9" s="15" t="s">
        <v>41</v>
      </c>
      <c r="AK9" s="15" t="s">
        <v>41</v>
      </c>
      <c r="AL9" s="15" t="s">
        <v>41</v>
      </c>
      <c r="AM9" s="16" t="s">
        <v>43</v>
      </c>
      <c r="AN9" s="41"/>
      <c r="AO9" s="41"/>
      <c r="AP9" s="30"/>
      <c r="AQ9" s="9">
        <v>3</v>
      </c>
      <c r="AR9" s="9" t="s">
        <v>5</v>
      </c>
      <c r="AS9" s="9" t="str">
        <f t="shared" si="5"/>
        <v>May</v>
      </c>
      <c r="AT9" s="10">
        <v>10003</v>
      </c>
      <c r="AU9" s="15">
        <f t="shared" si="6"/>
        <v>25</v>
      </c>
      <c r="AV9" s="15">
        <f t="shared" si="7"/>
        <v>0</v>
      </c>
      <c r="AW9" s="15">
        <f t="shared" si="8"/>
        <v>1</v>
      </c>
      <c r="AX9" s="15">
        <f t="shared" si="9"/>
        <v>4</v>
      </c>
      <c r="AY9" s="25">
        <f t="shared" si="10"/>
        <v>31</v>
      </c>
      <c r="AZ9" s="25">
        <f>JanReport17[[#This Row],[Days]]-JanReport17[[#This Row],[Abesent]]</f>
        <v>31</v>
      </c>
      <c r="BA9" s="26">
        <v>20000</v>
      </c>
      <c r="BB9" s="27">
        <f>JanReport17[[#This Row],[Salary]]/JanReport17[[#This Row],[Days]]</f>
        <v>645.16129032258061</v>
      </c>
      <c r="BC9" s="27">
        <f>JanReport17[[#This Row],[PerDaySalary]]*JanReport17[[#This Row],[Abesent]]</f>
        <v>0</v>
      </c>
      <c r="BD9" s="27">
        <f>JanReport17[[#This Row],[Salary]]-JanReport17[[#This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4</v>
      </c>
      <c r="I10" s="15" t="s">
        <v>41</v>
      </c>
      <c r="J10" s="15" t="s">
        <v>41</v>
      </c>
      <c r="K10" s="15"/>
      <c r="L10" s="15" t="str">
        <f t="shared" si="3"/>
        <v>WO</v>
      </c>
      <c r="M10" s="15" t="s">
        <v>41</v>
      </c>
      <c r="N10" s="15" t="s">
        <v>41</v>
      </c>
      <c r="O10" s="15" t="s">
        <v>41</v>
      </c>
      <c r="P10" s="45" t="s">
        <v>43</v>
      </c>
      <c r="Q10" s="15" t="s">
        <v>41</v>
      </c>
      <c r="R10" s="15" t="s">
        <v>41</v>
      </c>
      <c r="S10" s="15" t="str">
        <f t="shared" si="3"/>
        <v>WO</v>
      </c>
      <c r="T10" s="15" t="s">
        <v>41</v>
      </c>
      <c r="U10" s="15" t="s">
        <v>41</v>
      </c>
      <c r="V10" s="15" t="s">
        <v>41</v>
      </c>
      <c r="W10" s="45" t="s">
        <v>43</v>
      </c>
      <c r="X10" s="15" t="s">
        <v>41</v>
      </c>
      <c r="Y10" s="15" t="s">
        <v>41</v>
      </c>
      <c r="Z10" s="15" t="str">
        <f t="shared" si="4"/>
        <v>WO</v>
      </c>
      <c r="AA10" s="15" t="s">
        <v>41</v>
      </c>
      <c r="AB10" s="15" t="s">
        <v>41</v>
      </c>
      <c r="AC10" s="15" t="s">
        <v>41</v>
      </c>
      <c r="AD10" s="45" t="s">
        <v>43</v>
      </c>
      <c r="AE10" s="15" t="s">
        <v>41</v>
      </c>
      <c r="AF10" s="15" t="s">
        <v>41</v>
      </c>
      <c r="AG10" s="15" t="str">
        <f t="shared" si="4"/>
        <v>WO</v>
      </c>
      <c r="AH10" s="15" t="s">
        <v>41</v>
      </c>
      <c r="AI10" s="15" t="s">
        <v>41</v>
      </c>
      <c r="AJ10" s="15" t="s">
        <v>41</v>
      </c>
      <c r="AK10" s="45" t="s">
        <v>43</v>
      </c>
      <c r="AL10" s="15" t="s">
        <v>41</v>
      </c>
      <c r="AM10" s="16" t="s">
        <v>43</v>
      </c>
      <c r="AN10" s="41"/>
      <c r="AO10" s="41"/>
      <c r="AP10" s="30"/>
      <c r="AQ10" s="9">
        <v>4</v>
      </c>
      <c r="AR10" s="9" t="s">
        <v>6</v>
      </c>
      <c r="AS10" s="9" t="str">
        <f t="shared" si="5"/>
        <v>May</v>
      </c>
      <c r="AT10" s="10">
        <v>10004</v>
      </c>
      <c r="AU10" s="15">
        <f t="shared" si="6"/>
        <v>21</v>
      </c>
      <c r="AV10" s="15">
        <f t="shared" si="7"/>
        <v>0</v>
      </c>
      <c r="AW10" s="15">
        <f t="shared" si="8"/>
        <v>5</v>
      </c>
      <c r="AX10" s="15">
        <f t="shared" si="9"/>
        <v>4</v>
      </c>
      <c r="AY10" s="25">
        <f t="shared" si="10"/>
        <v>31</v>
      </c>
      <c r="AZ10" s="25">
        <f>JanReport17[[#This Row],[Days]]-JanReport17[[#This Row],[Abesent]]</f>
        <v>31</v>
      </c>
      <c r="BA10" s="26">
        <v>21000</v>
      </c>
      <c r="BB10" s="27">
        <f>JanReport17[[#This Row],[Salary]]/JanReport17[[#This Row],[Days]]</f>
        <v>677.41935483870964</v>
      </c>
      <c r="BC10" s="27">
        <f>JanReport17[[#This Row],[PerDaySalary]]*JanReport17[[#This Row],[Abesent]]</f>
        <v>0</v>
      </c>
      <c r="BD10" s="27">
        <f>JanReport17[[#This Row],[Salary]]-JanReport17[[#This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4</v>
      </c>
      <c r="I11" s="15" t="s">
        <v>41</v>
      </c>
      <c r="J11" s="15" t="s">
        <v>41</v>
      </c>
      <c r="K11" s="15"/>
      <c r="L11" s="15" t="str">
        <f t="shared" si="3"/>
        <v>WO</v>
      </c>
      <c r="M11" s="15" t="s">
        <v>41</v>
      </c>
      <c r="N11" s="15" t="s">
        <v>41</v>
      </c>
      <c r="O11" s="15" t="s">
        <v>41</v>
      </c>
      <c r="P11" s="15" t="s">
        <v>41</v>
      </c>
      <c r="Q11" s="15" t="s">
        <v>41</v>
      </c>
      <c r="R11" s="15" t="s">
        <v>41</v>
      </c>
      <c r="S11" s="15" t="str">
        <f t="shared" si="3"/>
        <v>WO</v>
      </c>
      <c r="T11" s="15" t="s">
        <v>41</v>
      </c>
      <c r="U11" s="15" t="s">
        <v>41</v>
      </c>
      <c r="V11" s="15" t="s">
        <v>41</v>
      </c>
      <c r="W11" s="15" t="s">
        <v>41</v>
      </c>
      <c r="X11" s="15" t="s">
        <v>41</v>
      </c>
      <c r="Y11" s="15" t="s">
        <v>41</v>
      </c>
      <c r="Z11" s="15" t="str">
        <f t="shared" si="4"/>
        <v>WO</v>
      </c>
      <c r="AA11" s="15" t="s">
        <v>41</v>
      </c>
      <c r="AB11" s="15" t="s">
        <v>41</v>
      </c>
      <c r="AC11" s="15" t="s">
        <v>41</v>
      </c>
      <c r="AD11" s="15" t="s">
        <v>41</v>
      </c>
      <c r="AE11" s="15" t="s">
        <v>41</v>
      </c>
      <c r="AF11" s="15" t="s">
        <v>41</v>
      </c>
      <c r="AG11" s="15" t="str">
        <f t="shared" si="4"/>
        <v>WO</v>
      </c>
      <c r="AH11" s="15" t="s">
        <v>41</v>
      </c>
      <c r="AI11" s="15" t="s">
        <v>41</v>
      </c>
      <c r="AJ11" s="15" t="s">
        <v>41</v>
      </c>
      <c r="AK11" s="15" t="s">
        <v>41</v>
      </c>
      <c r="AL11" s="15" t="s">
        <v>41</v>
      </c>
      <c r="AM11" s="16" t="s">
        <v>43</v>
      </c>
      <c r="AN11" s="41"/>
      <c r="AO11" s="41"/>
      <c r="AP11" s="30"/>
      <c r="AQ11" s="9">
        <v>5</v>
      </c>
      <c r="AR11" s="9" t="s">
        <v>7</v>
      </c>
      <c r="AS11" s="9" t="str">
        <f t="shared" si="5"/>
        <v>May</v>
      </c>
      <c r="AT11" s="10">
        <v>10005</v>
      </c>
      <c r="AU11" s="15">
        <f t="shared" si="6"/>
        <v>25</v>
      </c>
      <c r="AV11" s="15">
        <f t="shared" si="7"/>
        <v>0</v>
      </c>
      <c r="AW11" s="15">
        <f t="shared" si="8"/>
        <v>1</v>
      </c>
      <c r="AX11" s="15">
        <f t="shared" si="9"/>
        <v>4</v>
      </c>
      <c r="AY11" s="25">
        <f t="shared" si="10"/>
        <v>31</v>
      </c>
      <c r="AZ11" s="25">
        <f>JanReport17[[#This Row],[Days]]-JanReport17[[#This Row],[Abesent]]</f>
        <v>31</v>
      </c>
      <c r="BA11" s="26">
        <v>18000</v>
      </c>
      <c r="BB11" s="27">
        <f>JanReport17[[#This Row],[Salary]]/JanReport17[[#This Row],[Days]]</f>
        <v>580.64516129032256</v>
      </c>
      <c r="BC11" s="27">
        <f>JanReport17[[#This Row],[PerDaySalary]]*JanReport17[[#This Row],[Abesent]]</f>
        <v>0</v>
      </c>
      <c r="BD11" s="27">
        <f>JanReport17[[#This Row],[Salary]]-JanReport17[[#This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4</v>
      </c>
      <c r="I12" s="15" t="s">
        <v>41</v>
      </c>
      <c r="J12" s="15" t="s">
        <v>41</v>
      </c>
      <c r="K12" s="15"/>
      <c r="L12" s="15" t="str">
        <f t="shared" si="3"/>
        <v>WO</v>
      </c>
      <c r="M12" s="15" t="s">
        <v>41</v>
      </c>
      <c r="N12" s="15" t="s">
        <v>41</v>
      </c>
      <c r="O12" s="15" t="s">
        <v>41</v>
      </c>
      <c r="P12" s="15" t="s">
        <v>41</v>
      </c>
      <c r="Q12" s="15" t="s">
        <v>41</v>
      </c>
      <c r="R12" s="15" t="s">
        <v>41</v>
      </c>
      <c r="S12" s="15" t="str">
        <f t="shared" si="3"/>
        <v>WO</v>
      </c>
      <c r="T12" s="15" t="s">
        <v>41</v>
      </c>
      <c r="U12" s="15" t="s">
        <v>41</v>
      </c>
      <c r="V12" s="15" t="s">
        <v>41</v>
      </c>
      <c r="W12" s="15" t="s">
        <v>41</v>
      </c>
      <c r="X12" s="15" t="s">
        <v>41</v>
      </c>
      <c r="Y12" s="15" t="s">
        <v>41</v>
      </c>
      <c r="Z12" s="15" t="str">
        <f t="shared" si="4"/>
        <v>WO</v>
      </c>
      <c r="AA12" s="15" t="s">
        <v>41</v>
      </c>
      <c r="AB12" s="15" t="s">
        <v>41</v>
      </c>
      <c r="AC12" s="15" t="s">
        <v>41</v>
      </c>
      <c r="AD12" s="15" t="s">
        <v>41</v>
      </c>
      <c r="AE12" s="15" t="s">
        <v>41</v>
      </c>
      <c r="AF12" s="15" t="s">
        <v>41</v>
      </c>
      <c r="AG12" s="15" t="str">
        <f t="shared" si="4"/>
        <v>WO</v>
      </c>
      <c r="AH12" s="15" t="s">
        <v>41</v>
      </c>
      <c r="AI12" s="15" t="s">
        <v>41</v>
      </c>
      <c r="AJ12" s="15" t="s">
        <v>41</v>
      </c>
      <c r="AK12" s="15" t="s">
        <v>41</v>
      </c>
      <c r="AL12" s="15" t="s">
        <v>41</v>
      </c>
      <c r="AM12" s="16" t="s">
        <v>43</v>
      </c>
      <c r="AN12" s="41"/>
      <c r="AO12" s="41"/>
      <c r="AP12" s="30"/>
      <c r="AQ12" s="9">
        <v>6</v>
      </c>
      <c r="AR12" s="9" t="s">
        <v>8</v>
      </c>
      <c r="AS12" s="9" t="str">
        <f t="shared" si="5"/>
        <v>May</v>
      </c>
      <c r="AT12" s="10">
        <v>10006</v>
      </c>
      <c r="AU12" s="15">
        <f t="shared" si="6"/>
        <v>25</v>
      </c>
      <c r="AV12" s="15">
        <f t="shared" si="7"/>
        <v>0</v>
      </c>
      <c r="AW12" s="15">
        <f t="shared" si="8"/>
        <v>1</v>
      </c>
      <c r="AX12" s="15">
        <f t="shared" si="9"/>
        <v>4</v>
      </c>
      <c r="AY12" s="25">
        <f t="shared" si="10"/>
        <v>31</v>
      </c>
      <c r="AZ12" s="25">
        <f>JanReport17[[#This Row],[Days]]-JanReport17[[#This Row],[Abesent]]</f>
        <v>31</v>
      </c>
      <c r="BA12" s="26">
        <v>17000</v>
      </c>
      <c r="BB12" s="27">
        <f>JanReport17[[#This Row],[Salary]]/JanReport17[[#This Row],[Days]]</f>
        <v>548.38709677419354</v>
      </c>
      <c r="BC12" s="27">
        <f>JanReport17[[#This Row],[PerDaySalary]]*JanReport17[[#This Row],[Abesent]]</f>
        <v>0</v>
      </c>
      <c r="BD12" s="27">
        <f>JanReport17[[#This Row],[Salary]]-JanReport17[[#This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4</v>
      </c>
      <c r="I13" s="15" t="s">
        <v>41</v>
      </c>
      <c r="J13" s="15" t="s">
        <v>42</v>
      </c>
      <c r="K13" s="15"/>
      <c r="L13" s="15" t="str">
        <f t="shared" si="3"/>
        <v>WO</v>
      </c>
      <c r="M13" s="15" t="s">
        <v>41</v>
      </c>
      <c r="N13" s="15" t="s">
        <v>41</v>
      </c>
      <c r="O13" s="15" t="s">
        <v>42</v>
      </c>
      <c r="P13" s="15" t="s">
        <v>41</v>
      </c>
      <c r="Q13" s="15" t="s">
        <v>41</v>
      </c>
      <c r="R13" s="15" t="s">
        <v>41</v>
      </c>
      <c r="S13" s="15" t="str">
        <f t="shared" si="3"/>
        <v>WO</v>
      </c>
      <c r="T13" s="15" t="s">
        <v>41</v>
      </c>
      <c r="U13" s="15" t="s">
        <v>41</v>
      </c>
      <c r="V13" s="15" t="s">
        <v>42</v>
      </c>
      <c r="W13" s="15" t="s">
        <v>41</v>
      </c>
      <c r="X13" s="15" t="s">
        <v>41</v>
      </c>
      <c r="Y13" s="15" t="s">
        <v>41</v>
      </c>
      <c r="Z13" s="15" t="str">
        <f t="shared" si="4"/>
        <v>WO</v>
      </c>
      <c r="AA13" s="15" t="s">
        <v>41</v>
      </c>
      <c r="AB13" s="15" t="s">
        <v>41</v>
      </c>
      <c r="AC13" s="15" t="s">
        <v>42</v>
      </c>
      <c r="AD13" s="15" t="s">
        <v>41</v>
      </c>
      <c r="AE13" s="15" t="s">
        <v>41</v>
      </c>
      <c r="AF13" s="15" t="s">
        <v>41</v>
      </c>
      <c r="AG13" s="15" t="str">
        <f t="shared" si="4"/>
        <v>WO</v>
      </c>
      <c r="AH13" s="15" t="s">
        <v>41</v>
      </c>
      <c r="AI13" s="15" t="s">
        <v>41</v>
      </c>
      <c r="AJ13" s="15" t="s">
        <v>42</v>
      </c>
      <c r="AK13" s="15" t="s">
        <v>41</v>
      </c>
      <c r="AL13" s="15" t="s">
        <v>41</v>
      </c>
      <c r="AM13" s="16" t="s">
        <v>43</v>
      </c>
      <c r="AN13" s="41"/>
      <c r="AO13" s="41"/>
      <c r="AP13" s="30"/>
      <c r="AQ13" s="9">
        <v>7</v>
      </c>
      <c r="AR13" s="9" t="s">
        <v>9</v>
      </c>
      <c r="AS13" s="9" t="str">
        <f t="shared" si="5"/>
        <v>May</v>
      </c>
      <c r="AT13" s="10">
        <v>10007</v>
      </c>
      <c r="AU13" s="15">
        <f t="shared" si="6"/>
        <v>20</v>
      </c>
      <c r="AV13" s="15">
        <f t="shared" si="7"/>
        <v>5</v>
      </c>
      <c r="AW13" s="15">
        <f t="shared" si="8"/>
        <v>1</v>
      </c>
      <c r="AX13" s="15">
        <f t="shared" si="9"/>
        <v>4</v>
      </c>
      <c r="AY13" s="25">
        <f t="shared" si="10"/>
        <v>31</v>
      </c>
      <c r="AZ13" s="25">
        <f>JanReport17[[#This Row],[Days]]-JanReport17[[#This Row],[Abesent]]</f>
        <v>26</v>
      </c>
      <c r="BA13" s="26">
        <v>15000</v>
      </c>
      <c r="BB13" s="27">
        <f>JanReport17[[#This Row],[Salary]]/JanReport17[[#This Row],[Days]]</f>
        <v>483.87096774193549</v>
      </c>
      <c r="BC13" s="27">
        <f>JanReport17[[#This Row],[PerDaySalary]]*JanReport17[[#This Row],[Abesent]]</f>
        <v>2419.3548387096776</v>
      </c>
      <c r="BD13" s="27">
        <f>JanReport17[[#This Row],[Salary]]-JanReport17[[#This Row],[Deduction]]</f>
        <v>12580.645161290322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4</v>
      </c>
      <c r="I14" s="15" t="s">
        <v>41</v>
      </c>
      <c r="J14" s="15" t="s">
        <v>41</v>
      </c>
      <c r="K14" s="15"/>
      <c r="L14" s="15" t="str">
        <f t="shared" si="3"/>
        <v>WO</v>
      </c>
      <c r="M14" s="15" t="s">
        <v>41</v>
      </c>
      <c r="N14" s="15" t="s">
        <v>41</v>
      </c>
      <c r="O14" s="15" t="s">
        <v>41</v>
      </c>
      <c r="P14" s="15" t="s">
        <v>41</v>
      </c>
      <c r="Q14" s="15" t="s">
        <v>41</v>
      </c>
      <c r="R14" s="15" t="s">
        <v>41</v>
      </c>
      <c r="S14" s="15" t="str">
        <f t="shared" si="3"/>
        <v>WO</v>
      </c>
      <c r="T14" s="15" t="s">
        <v>41</v>
      </c>
      <c r="U14" s="15" t="s">
        <v>41</v>
      </c>
      <c r="V14" s="15" t="s">
        <v>41</v>
      </c>
      <c r="W14" s="15" t="s">
        <v>41</v>
      </c>
      <c r="X14" s="15" t="s">
        <v>41</v>
      </c>
      <c r="Y14" s="15" t="s">
        <v>41</v>
      </c>
      <c r="Z14" s="15" t="str">
        <f t="shared" si="4"/>
        <v>WO</v>
      </c>
      <c r="AA14" s="15" t="s">
        <v>41</v>
      </c>
      <c r="AB14" s="15" t="s">
        <v>41</v>
      </c>
      <c r="AC14" s="15" t="s">
        <v>41</v>
      </c>
      <c r="AD14" s="15" t="s">
        <v>41</v>
      </c>
      <c r="AE14" s="15" t="s">
        <v>41</v>
      </c>
      <c r="AF14" s="15" t="s">
        <v>41</v>
      </c>
      <c r="AG14" s="15" t="str">
        <f t="shared" si="4"/>
        <v>WO</v>
      </c>
      <c r="AH14" s="15" t="s">
        <v>41</v>
      </c>
      <c r="AI14" s="15" t="s">
        <v>41</v>
      </c>
      <c r="AJ14" s="15" t="s">
        <v>41</v>
      </c>
      <c r="AK14" s="15" t="s">
        <v>41</v>
      </c>
      <c r="AL14" s="15" t="s">
        <v>41</v>
      </c>
      <c r="AM14" s="16" t="s">
        <v>43</v>
      </c>
      <c r="AN14" s="41"/>
      <c r="AO14" s="41"/>
      <c r="AP14" s="30"/>
      <c r="AQ14" s="9">
        <v>8</v>
      </c>
      <c r="AR14" s="9" t="s">
        <v>10</v>
      </c>
      <c r="AS14" s="9" t="str">
        <f t="shared" si="5"/>
        <v>May</v>
      </c>
      <c r="AT14" s="10">
        <v>10008</v>
      </c>
      <c r="AU14" s="15">
        <f t="shared" si="6"/>
        <v>25</v>
      </c>
      <c r="AV14" s="15">
        <f t="shared" si="7"/>
        <v>0</v>
      </c>
      <c r="AW14" s="15">
        <f t="shared" si="8"/>
        <v>1</v>
      </c>
      <c r="AX14" s="15">
        <f t="shared" si="9"/>
        <v>4</v>
      </c>
      <c r="AY14" s="25">
        <f t="shared" si="10"/>
        <v>31</v>
      </c>
      <c r="AZ14" s="25">
        <f>JanReport17[[#This Row],[Days]]-JanReport17[[#This Row],[Abesent]]</f>
        <v>31</v>
      </c>
      <c r="BA14" s="26">
        <v>21000</v>
      </c>
      <c r="BB14" s="27">
        <f>JanReport17[[#This Row],[Salary]]/JanReport17[[#This Row],[Days]]</f>
        <v>677.41935483870964</v>
      </c>
      <c r="BC14" s="27">
        <f>JanReport17[[#This Row],[PerDaySalary]]*JanReport17[[#This Row],[Abesent]]</f>
        <v>0</v>
      </c>
      <c r="BD14" s="27">
        <f>JanReport17[[#This Row],[Salary]]-JanReport17[[#This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4</v>
      </c>
      <c r="I15" s="15" t="s">
        <v>41</v>
      </c>
      <c r="J15" s="15" t="s">
        <v>41</v>
      </c>
      <c r="K15" s="15"/>
      <c r="L15" s="15" t="str">
        <f t="shared" si="3"/>
        <v>WO</v>
      </c>
      <c r="M15" s="15" t="s">
        <v>41</v>
      </c>
      <c r="N15" s="15" t="s">
        <v>41</v>
      </c>
      <c r="O15" s="15" t="s">
        <v>41</v>
      </c>
      <c r="P15" s="15" t="s">
        <v>41</v>
      </c>
      <c r="Q15" s="15" t="s">
        <v>41</v>
      </c>
      <c r="R15" s="15" t="s">
        <v>41</v>
      </c>
      <c r="S15" s="15" t="str">
        <f t="shared" si="3"/>
        <v>WO</v>
      </c>
      <c r="T15" s="15" t="s">
        <v>41</v>
      </c>
      <c r="U15" s="15" t="s">
        <v>41</v>
      </c>
      <c r="V15" s="15" t="s">
        <v>41</v>
      </c>
      <c r="W15" s="15" t="s">
        <v>41</v>
      </c>
      <c r="X15" s="15" t="s">
        <v>41</v>
      </c>
      <c r="Y15" s="15" t="s">
        <v>41</v>
      </c>
      <c r="Z15" s="15" t="str">
        <f t="shared" si="4"/>
        <v>WO</v>
      </c>
      <c r="AA15" s="15" t="s">
        <v>41</v>
      </c>
      <c r="AB15" s="15" t="s">
        <v>41</v>
      </c>
      <c r="AC15" s="15" t="s">
        <v>41</v>
      </c>
      <c r="AD15" s="15" t="s">
        <v>41</v>
      </c>
      <c r="AE15" s="15" t="s">
        <v>41</v>
      </c>
      <c r="AF15" s="15" t="s">
        <v>41</v>
      </c>
      <c r="AG15" s="15" t="str">
        <f t="shared" si="4"/>
        <v>WO</v>
      </c>
      <c r="AH15" s="15" t="s">
        <v>41</v>
      </c>
      <c r="AI15" s="15" t="s">
        <v>41</v>
      </c>
      <c r="AJ15" s="15" t="s">
        <v>41</v>
      </c>
      <c r="AK15" s="15" t="s">
        <v>41</v>
      </c>
      <c r="AL15" s="15" t="s">
        <v>41</v>
      </c>
      <c r="AM15" s="16" t="s">
        <v>43</v>
      </c>
      <c r="AN15" s="41"/>
      <c r="AO15" s="41"/>
      <c r="AP15" s="30"/>
      <c r="AQ15" s="9">
        <v>9</v>
      </c>
      <c r="AR15" s="9" t="s">
        <v>11</v>
      </c>
      <c r="AS15" s="9" t="str">
        <f t="shared" si="5"/>
        <v>May</v>
      </c>
      <c r="AT15" s="10">
        <v>10009</v>
      </c>
      <c r="AU15" s="15">
        <f t="shared" si="6"/>
        <v>25</v>
      </c>
      <c r="AV15" s="15">
        <f t="shared" si="7"/>
        <v>0</v>
      </c>
      <c r="AW15" s="15">
        <f t="shared" si="8"/>
        <v>1</v>
      </c>
      <c r="AX15" s="15">
        <f t="shared" si="9"/>
        <v>4</v>
      </c>
      <c r="AY15" s="25">
        <f t="shared" si="10"/>
        <v>31</v>
      </c>
      <c r="AZ15" s="25">
        <f>JanReport17[[#This Row],[Days]]-JanReport17[[#This Row],[Abesent]]</f>
        <v>31</v>
      </c>
      <c r="BA15" s="26">
        <v>22000</v>
      </c>
      <c r="BB15" s="27">
        <f>JanReport17[[#This Row],[Salary]]/JanReport17[[#This Row],[Days]]</f>
        <v>709.67741935483866</v>
      </c>
      <c r="BC15" s="27">
        <f>JanReport17[[#This Row],[PerDaySalary]]*JanReport17[[#This Row],[Abesent]]</f>
        <v>0</v>
      </c>
      <c r="BD15" s="27">
        <f>JanReport17[[#This Row],[Salary]]-JanReport17[[#This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4</v>
      </c>
      <c r="I16" s="15" t="s">
        <v>41</v>
      </c>
      <c r="J16" s="15" t="s">
        <v>41</v>
      </c>
      <c r="K16" s="15"/>
      <c r="L16" s="15" t="str">
        <f t="shared" si="3"/>
        <v>WO</v>
      </c>
      <c r="M16" s="15" t="s">
        <v>41</v>
      </c>
      <c r="N16" s="15" t="s">
        <v>41</v>
      </c>
      <c r="O16" s="15" t="s">
        <v>41</v>
      </c>
      <c r="P16" s="15" t="s">
        <v>41</v>
      </c>
      <c r="Q16" s="15" t="s">
        <v>41</v>
      </c>
      <c r="R16" s="15" t="s">
        <v>41</v>
      </c>
      <c r="S16" s="15" t="str">
        <f t="shared" si="3"/>
        <v>WO</v>
      </c>
      <c r="T16" s="15" t="s">
        <v>41</v>
      </c>
      <c r="U16" s="15" t="s">
        <v>41</v>
      </c>
      <c r="V16" s="15" t="s">
        <v>41</v>
      </c>
      <c r="W16" s="15" t="s">
        <v>41</v>
      </c>
      <c r="X16" s="15" t="s">
        <v>41</v>
      </c>
      <c r="Y16" s="15" t="s">
        <v>41</v>
      </c>
      <c r="Z16" s="15" t="str">
        <f t="shared" si="4"/>
        <v>WO</v>
      </c>
      <c r="AA16" s="15" t="s">
        <v>41</v>
      </c>
      <c r="AB16" s="15" t="s">
        <v>41</v>
      </c>
      <c r="AC16" s="15" t="s">
        <v>41</v>
      </c>
      <c r="AD16" s="15" t="s">
        <v>41</v>
      </c>
      <c r="AE16" s="15" t="s">
        <v>41</v>
      </c>
      <c r="AF16" s="15" t="s">
        <v>41</v>
      </c>
      <c r="AG16" s="15" t="str">
        <f t="shared" si="4"/>
        <v>WO</v>
      </c>
      <c r="AH16" s="15" t="s">
        <v>41</v>
      </c>
      <c r="AI16" s="15" t="s">
        <v>41</v>
      </c>
      <c r="AJ16" s="15" t="s">
        <v>41</v>
      </c>
      <c r="AK16" s="15" t="s">
        <v>41</v>
      </c>
      <c r="AL16" s="15" t="s">
        <v>41</v>
      </c>
      <c r="AM16" s="16" t="s">
        <v>43</v>
      </c>
      <c r="AN16" s="41"/>
      <c r="AO16" s="41"/>
      <c r="AP16" s="30"/>
      <c r="AQ16" s="9">
        <v>10</v>
      </c>
      <c r="AR16" s="9" t="s">
        <v>12</v>
      </c>
      <c r="AS16" s="9" t="str">
        <f t="shared" si="5"/>
        <v>May</v>
      </c>
      <c r="AT16" s="10">
        <v>10010</v>
      </c>
      <c r="AU16" s="15">
        <f t="shared" si="6"/>
        <v>25</v>
      </c>
      <c r="AV16" s="15">
        <f t="shared" si="7"/>
        <v>0</v>
      </c>
      <c r="AW16" s="15">
        <f t="shared" si="8"/>
        <v>1</v>
      </c>
      <c r="AX16" s="15">
        <f t="shared" si="9"/>
        <v>4</v>
      </c>
      <c r="AY16" s="25">
        <f t="shared" si="10"/>
        <v>31</v>
      </c>
      <c r="AZ16" s="25">
        <f>JanReport17[[#This Row],[Days]]-JanReport17[[#This Row],[Abesent]]</f>
        <v>31</v>
      </c>
      <c r="BA16" s="26">
        <v>25000</v>
      </c>
      <c r="BB16" s="27">
        <f>JanReport17[[#This Row],[Salary]]/JanReport17[[#This Row],[Days]]</f>
        <v>806.45161290322585</v>
      </c>
      <c r="BC16" s="27">
        <f>JanReport17[[#This Row],[PerDaySalary]]*JanReport17[[#This Row],[Abesent]]</f>
        <v>0</v>
      </c>
      <c r="BD16" s="27">
        <f>JanReport17[[#This Row],[Salary]]-JanReport17[[#This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4</v>
      </c>
      <c r="I17" s="15" t="s">
        <v>41</v>
      </c>
      <c r="J17" s="15" t="s">
        <v>41</v>
      </c>
      <c r="K17" s="15"/>
      <c r="L17" s="15" t="str">
        <f t="shared" si="3"/>
        <v>WO</v>
      </c>
      <c r="M17" s="15" t="s">
        <v>41</v>
      </c>
      <c r="N17" s="15" t="s">
        <v>41</v>
      </c>
      <c r="O17" s="15" t="s">
        <v>41</v>
      </c>
      <c r="P17" s="15" t="s">
        <v>41</v>
      </c>
      <c r="Q17" s="15" t="s">
        <v>41</v>
      </c>
      <c r="R17" s="15" t="s">
        <v>42</v>
      </c>
      <c r="S17" s="15" t="str">
        <f t="shared" si="3"/>
        <v>WO</v>
      </c>
      <c r="T17" s="15" t="s">
        <v>41</v>
      </c>
      <c r="U17" s="15" t="s">
        <v>41</v>
      </c>
      <c r="V17" s="15" t="s">
        <v>41</v>
      </c>
      <c r="W17" s="15" t="s">
        <v>41</v>
      </c>
      <c r="X17" s="15" t="s">
        <v>41</v>
      </c>
      <c r="Y17" s="15" t="s">
        <v>42</v>
      </c>
      <c r="Z17" s="15" t="str">
        <f t="shared" si="4"/>
        <v>WO</v>
      </c>
      <c r="AA17" s="15" t="s">
        <v>41</v>
      </c>
      <c r="AB17" s="15" t="s">
        <v>41</v>
      </c>
      <c r="AC17" s="15" t="s">
        <v>41</v>
      </c>
      <c r="AD17" s="15" t="s">
        <v>41</v>
      </c>
      <c r="AE17" s="15" t="s">
        <v>41</v>
      </c>
      <c r="AF17" s="15" t="s">
        <v>42</v>
      </c>
      <c r="AG17" s="15" t="str">
        <f t="shared" si="4"/>
        <v>WO</v>
      </c>
      <c r="AH17" s="15" t="s">
        <v>41</v>
      </c>
      <c r="AI17" s="15" t="s">
        <v>41</v>
      </c>
      <c r="AJ17" s="15" t="s">
        <v>41</v>
      </c>
      <c r="AK17" s="15" t="s">
        <v>41</v>
      </c>
      <c r="AL17" s="15" t="s">
        <v>41</v>
      </c>
      <c r="AM17" s="16" t="s">
        <v>43</v>
      </c>
      <c r="AN17" s="41"/>
      <c r="AO17" s="41"/>
      <c r="AP17" s="30"/>
      <c r="AQ17" s="9">
        <v>11</v>
      </c>
      <c r="AR17" s="9" t="s">
        <v>13</v>
      </c>
      <c r="AS17" s="9" t="str">
        <f t="shared" si="5"/>
        <v>May</v>
      </c>
      <c r="AT17" s="10">
        <v>10011</v>
      </c>
      <c r="AU17" s="15">
        <f t="shared" si="6"/>
        <v>22</v>
      </c>
      <c r="AV17" s="15">
        <f t="shared" si="7"/>
        <v>3</v>
      </c>
      <c r="AW17" s="15">
        <f t="shared" si="8"/>
        <v>1</v>
      </c>
      <c r="AX17" s="15">
        <f t="shared" si="9"/>
        <v>4</v>
      </c>
      <c r="AY17" s="25">
        <f t="shared" si="10"/>
        <v>31</v>
      </c>
      <c r="AZ17" s="25">
        <f>JanReport17[[#This Row],[Days]]-JanReport17[[#This Row],[Abesent]]</f>
        <v>28</v>
      </c>
      <c r="BA17" s="26">
        <v>15000</v>
      </c>
      <c r="BB17" s="27">
        <f>JanReport17[[#This Row],[Salary]]/JanReport17[[#This Row],[Days]]</f>
        <v>483.87096774193549</v>
      </c>
      <c r="BC17" s="27">
        <f>JanReport17[[#This Row],[PerDaySalary]]*JanReport17[[#This Row],[Abesent]]</f>
        <v>1451.6129032258063</v>
      </c>
      <c r="BD17" s="27">
        <f>JanReport17[[#This Row],[Salary]]-JanReport17[[#This Row],[Deduction]]</f>
        <v>13548.387096774193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4</v>
      </c>
      <c r="I18" s="15" t="s">
        <v>41</v>
      </c>
      <c r="J18" s="15" t="s">
        <v>41</v>
      </c>
      <c r="K18" s="15"/>
      <c r="L18" s="15" t="str">
        <f t="shared" si="3"/>
        <v>WO</v>
      </c>
      <c r="M18" s="15" t="s">
        <v>41</v>
      </c>
      <c r="N18" s="15" t="s">
        <v>41</v>
      </c>
      <c r="O18" s="15" t="s">
        <v>41</v>
      </c>
      <c r="P18" s="15" t="s">
        <v>41</v>
      </c>
      <c r="Q18" s="15" t="s">
        <v>41</v>
      </c>
      <c r="R18" s="15" t="s">
        <v>41</v>
      </c>
      <c r="S18" s="15" t="str">
        <f t="shared" si="3"/>
        <v>WO</v>
      </c>
      <c r="T18" s="15" t="s">
        <v>41</v>
      </c>
      <c r="U18" s="15" t="s">
        <v>41</v>
      </c>
      <c r="V18" s="15" t="s">
        <v>41</v>
      </c>
      <c r="W18" s="15" t="s">
        <v>41</v>
      </c>
      <c r="X18" s="15" t="s">
        <v>41</v>
      </c>
      <c r="Y18" s="15" t="s">
        <v>41</v>
      </c>
      <c r="Z18" s="15" t="str">
        <f t="shared" si="4"/>
        <v>WO</v>
      </c>
      <c r="AA18" s="15" t="s">
        <v>41</v>
      </c>
      <c r="AB18" s="15" t="s">
        <v>41</v>
      </c>
      <c r="AC18" s="15" t="s">
        <v>41</v>
      </c>
      <c r="AD18" s="15" t="s">
        <v>41</v>
      </c>
      <c r="AE18" s="15" t="s">
        <v>41</v>
      </c>
      <c r="AF18" s="15" t="s">
        <v>41</v>
      </c>
      <c r="AG18" s="15" t="str">
        <f t="shared" si="4"/>
        <v>WO</v>
      </c>
      <c r="AH18" s="15" t="s">
        <v>41</v>
      </c>
      <c r="AI18" s="15" t="s">
        <v>41</v>
      </c>
      <c r="AJ18" s="15" t="s">
        <v>41</v>
      </c>
      <c r="AK18" s="15" t="s">
        <v>41</v>
      </c>
      <c r="AL18" s="15" t="s">
        <v>41</v>
      </c>
      <c r="AM18" s="16" t="s">
        <v>43</v>
      </c>
      <c r="AN18" s="41"/>
      <c r="AO18" s="41"/>
      <c r="AP18" s="30"/>
      <c r="AQ18" s="9">
        <v>12</v>
      </c>
      <c r="AR18" s="9" t="s">
        <v>14</v>
      </c>
      <c r="AS18" s="9" t="str">
        <f t="shared" si="5"/>
        <v>May</v>
      </c>
      <c r="AT18" s="10">
        <v>10012</v>
      </c>
      <c r="AU18" s="15">
        <f t="shared" si="6"/>
        <v>25</v>
      </c>
      <c r="AV18" s="15">
        <f t="shared" si="7"/>
        <v>0</v>
      </c>
      <c r="AW18" s="15">
        <f t="shared" si="8"/>
        <v>1</v>
      </c>
      <c r="AX18" s="15">
        <f t="shared" si="9"/>
        <v>4</v>
      </c>
      <c r="AY18" s="25">
        <f t="shared" si="10"/>
        <v>31</v>
      </c>
      <c r="AZ18" s="25">
        <f>JanReport17[[#This Row],[Days]]-JanReport17[[#This Row],[Abesent]]</f>
        <v>31</v>
      </c>
      <c r="BA18" s="26">
        <v>19000</v>
      </c>
      <c r="BB18" s="27">
        <f>JanReport17[[#This Row],[Salary]]/JanReport17[[#This Row],[Days]]</f>
        <v>612.90322580645159</v>
      </c>
      <c r="BC18" s="27">
        <f>JanReport17[[#This Row],[PerDaySalary]]*JanReport17[[#This Row],[Abesent]]</f>
        <v>0</v>
      </c>
      <c r="BD18" s="27">
        <f>JanReport17[[#This Row],[Salary]]-JanReport17[[#This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4</v>
      </c>
      <c r="I19" s="15" t="s">
        <v>41</v>
      </c>
      <c r="J19" s="15" t="s">
        <v>41</v>
      </c>
      <c r="K19" s="15"/>
      <c r="L19" s="15" t="str">
        <f t="shared" si="3"/>
        <v>WO</v>
      </c>
      <c r="M19" s="15" t="s">
        <v>41</v>
      </c>
      <c r="N19" s="15" t="s">
        <v>41</v>
      </c>
      <c r="O19" s="15" t="s">
        <v>41</v>
      </c>
      <c r="P19" s="15" t="s">
        <v>41</v>
      </c>
      <c r="Q19" s="15" t="s">
        <v>41</v>
      </c>
      <c r="R19" s="15" t="s">
        <v>41</v>
      </c>
      <c r="S19" s="15" t="str">
        <f t="shared" si="3"/>
        <v>WO</v>
      </c>
      <c r="T19" s="15" t="s">
        <v>41</v>
      </c>
      <c r="U19" s="15" t="s">
        <v>41</v>
      </c>
      <c r="V19" s="15" t="s">
        <v>41</v>
      </c>
      <c r="W19" s="15" t="s">
        <v>41</v>
      </c>
      <c r="X19" s="15" t="s">
        <v>41</v>
      </c>
      <c r="Y19" s="15" t="s">
        <v>41</v>
      </c>
      <c r="Z19" s="15" t="str">
        <f t="shared" si="4"/>
        <v>WO</v>
      </c>
      <c r="AA19" s="15" t="s">
        <v>41</v>
      </c>
      <c r="AB19" s="15" t="s">
        <v>41</v>
      </c>
      <c r="AC19" s="15" t="s">
        <v>41</v>
      </c>
      <c r="AD19" s="15" t="s">
        <v>41</v>
      </c>
      <c r="AE19" s="15" t="s">
        <v>41</v>
      </c>
      <c r="AF19" s="15" t="s">
        <v>41</v>
      </c>
      <c r="AG19" s="15" t="str">
        <f t="shared" si="4"/>
        <v>WO</v>
      </c>
      <c r="AH19" s="15" t="s">
        <v>41</v>
      </c>
      <c r="AI19" s="15" t="s">
        <v>41</v>
      </c>
      <c r="AJ19" s="15" t="s">
        <v>41</v>
      </c>
      <c r="AK19" s="15" t="s">
        <v>41</v>
      </c>
      <c r="AL19" s="15" t="s">
        <v>41</v>
      </c>
      <c r="AM19" s="16" t="s">
        <v>43</v>
      </c>
      <c r="AN19" s="41"/>
      <c r="AO19" s="41"/>
      <c r="AP19" s="30"/>
      <c r="AQ19" s="9">
        <v>13</v>
      </c>
      <c r="AR19" s="9" t="s">
        <v>15</v>
      </c>
      <c r="AS19" s="9" t="str">
        <f t="shared" si="5"/>
        <v>May</v>
      </c>
      <c r="AT19" s="10">
        <v>10013</v>
      </c>
      <c r="AU19" s="15">
        <f t="shared" si="6"/>
        <v>25</v>
      </c>
      <c r="AV19" s="15">
        <f t="shared" si="7"/>
        <v>0</v>
      </c>
      <c r="AW19" s="15">
        <f t="shared" si="8"/>
        <v>1</v>
      </c>
      <c r="AX19" s="15">
        <f t="shared" si="9"/>
        <v>4</v>
      </c>
      <c r="AY19" s="25">
        <f t="shared" si="10"/>
        <v>31</v>
      </c>
      <c r="AZ19" s="25">
        <f>JanReport17[[#This Row],[Days]]-JanReport17[[#This Row],[Abesent]]</f>
        <v>31</v>
      </c>
      <c r="BA19" s="26">
        <v>20000</v>
      </c>
      <c r="BB19" s="27">
        <f>JanReport17[[#This Row],[Salary]]/JanReport17[[#This Row],[Days]]</f>
        <v>645.16129032258061</v>
      </c>
      <c r="BC19" s="27">
        <f>JanReport17[[#This Row],[PerDaySalary]]*JanReport17[[#This Row],[Abesent]]</f>
        <v>0</v>
      </c>
      <c r="BD19" s="27">
        <f>JanReport17[[#This Row],[Salary]]-JanReport17[[#This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4</v>
      </c>
      <c r="I20" s="15" t="s">
        <v>41</v>
      </c>
      <c r="J20" s="15" t="s">
        <v>41</v>
      </c>
      <c r="K20" s="15"/>
      <c r="L20" s="15" t="str">
        <f t="shared" si="3"/>
        <v>WO</v>
      </c>
      <c r="M20" s="15" t="s">
        <v>41</v>
      </c>
      <c r="N20" s="15" t="s">
        <v>41</v>
      </c>
      <c r="O20" s="15" t="s">
        <v>41</v>
      </c>
      <c r="P20" s="15" t="s">
        <v>41</v>
      </c>
      <c r="Q20" s="15" t="s">
        <v>41</v>
      </c>
      <c r="R20" s="15" t="s">
        <v>41</v>
      </c>
      <c r="S20" s="15" t="str">
        <f t="shared" si="3"/>
        <v>WO</v>
      </c>
      <c r="T20" s="15" t="s">
        <v>41</v>
      </c>
      <c r="U20" s="15" t="s">
        <v>41</v>
      </c>
      <c r="V20" s="15" t="s">
        <v>41</v>
      </c>
      <c r="W20" s="15" t="s">
        <v>41</v>
      </c>
      <c r="X20" s="15" t="s">
        <v>41</v>
      </c>
      <c r="Y20" s="15" t="s">
        <v>41</v>
      </c>
      <c r="Z20" s="15" t="str">
        <f t="shared" si="4"/>
        <v>WO</v>
      </c>
      <c r="AA20" s="15" t="s">
        <v>41</v>
      </c>
      <c r="AB20" s="15" t="s">
        <v>41</v>
      </c>
      <c r="AC20" s="15" t="s">
        <v>41</v>
      </c>
      <c r="AD20" s="15" t="s">
        <v>41</v>
      </c>
      <c r="AE20" s="15" t="s">
        <v>41</v>
      </c>
      <c r="AF20" s="15" t="s">
        <v>41</v>
      </c>
      <c r="AG20" s="15" t="str">
        <f t="shared" si="4"/>
        <v>WO</v>
      </c>
      <c r="AH20" s="15" t="s">
        <v>41</v>
      </c>
      <c r="AI20" s="15" t="s">
        <v>41</v>
      </c>
      <c r="AJ20" s="15" t="s">
        <v>41</v>
      </c>
      <c r="AK20" s="15" t="s">
        <v>41</v>
      </c>
      <c r="AL20" s="15" t="s">
        <v>41</v>
      </c>
      <c r="AM20" s="16" t="s">
        <v>43</v>
      </c>
      <c r="AN20" s="41"/>
      <c r="AO20" s="41"/>
      <c r="AP20" s="30"/>
      <c r="AQ20" s="9">
        <v>14</v>
      </c>
      <c r="AR20" s="9" t="s">
        <v>16</v>
      </c>
      <c r="AS20" s="9" t="str">
        <f t="shared" si="5"/>
        <v>May</v>
      </c>
      <c r="AT20" s="10">
        <v>10014</v>
      </c>
      <c r="AU20" s="15">
        <f t="shared" si="6"/>
        <v>25</v>
      </c>
      <c r="AV20" s="15">
        <f t="shared" si="7"/>
        <v>0</v>
      </c>
      <c r="AW20" s="15">
        <f t="shared" si="8"/>
        <v>1</v>
      </c>
      <c r="AX20" s="15">
        <f t="shared" si="9"/>
        <v>4</v>
      </c>
      <c r="AY20" s="25">
        <f t="shared" si="10"/>
        <v>31</v>
      </c>
      <c r="AZ20" s="25">
        <f>JanReport17[[#This Row],[Days]]-JanReport17[[#This Row],[Abesent]]</f>
        <v>31</v>
      </c>
      <c r="BA20" s="26">
        <v>19000</v>
      </c>
      <c r="BB20" s="27">
        <f>JanReport17[[#This Row],[Salary]]/JanReport17[[#This Row],[Days]]</f>
        <v>612.90322580645159</v>
      </c>
      <c r="BC20" s="27">
        <f>JanReport17[[#This Row],[PerDaySalary]]*JanReport17[[#This Row],[Abesent]]</f>
        <v>0</v>
      </c>
      <c r="BD20" s="27">
        <f>JanReport17[[#This Row],[Salary]]-JanReport17[[#This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4</v>
      </c>
      <c r="I21" s="15" t="s">
        <v>41</v>
      </c>
      <c r="J21" s="15" t="s">
        <v>41</v>
      </c>
      <c r="K21" s="15"/>
      <c r="L21" s="15" t="str">
        <f t="shared" si="3"/>
        <v>WO</v>
      </c>
      <c r="M21" s="15" t="s">
        <v>41</v>
      </c>
      <c r="N21" s="15" t="s">
        <v>41</v>
      </c>
      <c r="O21" s="15" t="s">
        <v>41</v>
      </c>
      <c r="P21" s="15" t="s">
        <v>41</v>
      </c>
      <c r="Q21" s="15" t="s">
        <v>41</v>
      </c>
      <c r="R21" s="15" t="s">
        <v>41</v>
      </c>
      <c r="S21" s="15" t="str">
        <f t="shared" si="3"/>
        <v>WO</v>
      </c>
      <c r="T21" s="15" t="s">
        <v>41</v>
      </c>
      <c r="U21" s="15" t="s">
        <v>41</v>
      </c>
      <c r="V21" s="15" t="s">
        <v>41</v>
      </c>
      <c r="W21" s="15" t="s">
        <v>41</v>
      </c>
      <c r="X21" s="15" t="s">
        <v>41</v>
      </c>
      <c r="Y21" s="15" t="s">
        <v>41</v>
      </c>
      <c r="Z21" s="15" t="str">
        <f t="shared" si="4"/>
        <v>WO</v>
      </c>
      <c r="AA21" s="15" t="s">
        <v>41</v>
      </c>
      <c r="AB21" s="15" t="s">
        <v>41</v>
      </c>
      <c r="AC21" s="15" t="s">
        <v>41</v>
      </c>
      <c r="AD21" s="15" t="s">
        <v>41</v>
      </c>
      <c r="AE21" s="15" t="s">
        <v>41</v>
      </c>
      <c r="AF21" s="15" t="s">
        <v>41</v>
      </c>
      <c r="AG21" s="15" t="str">
        <f t="shared" si="4"/>
        <v>WO</v>
      </c>
      <c r="AH21" s="15" t="s">
        <v>41</v>
      </c>
      <c r="AI21" s="15" t="s">
        <v>41</v>
      </c>
      <c r="AJ21" s="15" t="s">
        <v>41</v>
      </c>
      <c r="AK21" s="15" t="s">
        <v>41</v>
      </c>
      <c r="AL21" s="15" t="s">
        <v>41</v>
      </c>
      <c r="AM21" s="16" t="s">
        <v>43</v>
      </c>
      <c r="AN21" s="41"/>
      <c r="AO21" s="41"/>
      <c r="AP21" s="30"/>
      <c r="AQ21" s="9">
        <v>15</v>
      </c>
      <c r="AR21" s="9" t="s">
        <v>17</v>
      </c>
      <c r="AS21" s="9" t="str">
        <f t="shared" si="5"/>
        <v>May</v>
      </c>
      <c r="AT21" s="10">
        <v>10015</v>
      </c>
      <c r="AU21" s="15">
        <f t="shared" si="6"/>
        <v>25</v>
      </c>
      <c r="AV21" s="15">
        <f t="shared" si="7"/>
        <v>0</v>
      </c>
      <c r="AW21" s="15">
        <f t="shared" si="8"/>
        <v>1</v>
      </c>
      <c r="AX21" s="15">
        <f t="shared" si="9"/>
        <v>4</v>
      </c>
      <c r="AY21" s="25">
        <f t="shared" si="10"/>
        <v>31</v>
      </c>
      <c r="AZ21" s="25">
        <f>JanReport17[[#This Row],[Days]]-JanReport17[[#This Row],[Abesent]]</f>
        <v>31</v>
      </c>
      <c r="BA21" s="26">
        <v>25000</v>
      </c>
      <c r="BB21" s="27">
        <f>JanReport17[[#This Row],[Salary]]/JanReport17[[#This Row],[Days]]</f>
        <v>806.45161290322585</v>
      </c>
      <c r="BC21" s="27">
        <f>JanReport17[[#This Row],[PerDaySalary]]*JanReport17[[#This Row],[Abesent]]</f>
        <v>0</v>
      </c>
      <c r="BD21" s="27">
        <f>JanReport17[[#This Row],[Salary]]-JanReport17[[#This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4</v>
      </c>
      <c r="I22" s="15" t="s">
        <v>41</v>
      </c>
      <c r="J22" s="15" t="s">
        <v>41</v>
      </c>
      <c r="K22" s="15"/>
      <c r="L22" s="15" t="str">
        <f t="shared" si="3"/>
        <v>WO</v>
      </c>
      <c r="M22" s="15" t="s">
        <v>41</v>
      </c>
      <c r="N22" s="15" t="s">
        <v>41</v>
      </c>
      <c r="O22" s="15" t="s">
        <v>41</v>
      </c>
      <c r="P22" s="15" t="s">
        <v>42</v>
      </c>
      <c r="Q22" s="15" t="s">
        <v>41</v>
      </c>
      <c r="R22" s="15" t="s">
        <v>41</v>
      </c>
      <c r="S22" s="15" t="str">
        <f t="shared" si="3"/>
        <v>WO</v>
      </c>
      <c r="T22" s="15" t="s">
        <v>41</v>
      </c>
      <c r="U22" s="15" t="s">
        <v>41</v>
      </c>
      <c r="V22" s="15" t="s">
        <v>41</v>
      </c>
      <c r="W22" s="15" t="s">
        <v>42</v>
      </c>
      <c r="X22" s="15" t="s">
        <v>41</v>
      </c>
      <c r="Y22" s="15" t="s">
        <v>41</v>
      </c>
      <c r="Z22" s="15" t="str">
        <f t="shared" si="4"/>
        <v>WO</v>
      </c>
      <c r="AA22" s="15" t="s">
        <v>41</v>
      </c>
      <c r="AB22" s="15" t="s">
        <v>41</v>
      </c>
      <c r="AC22" s="15" t="s">
        <v>41</v>
      </c>
      <c r="AD22" s="15" t="s">
        <v>42</v>
      </c>
      <c r="AE22" s="15" t="s">
        <v>41</v>
      </c>
      <c r="AF22" s="15" t="s">
        <v>41</v>
      </c>
      <c r="AG22" s="15" t="str">
        <f t="shared" si="4"/>
        <v>WO</v>
      </c>
      <c r="AH22" s="15" t="s">
        <v>41</v>
      </c>
      <c r="AI22" s="15" t="s">
        <v>41</v>
      </c>
      <c r="AJ22" s="15" t="s">
        <v>41</v>
      </c>
      <c r="AK22" s="15" t="s">
        <v>42</v>
      </c>
      <c r="AL22" s="15" t="s">
        <v>41</v>
      </c>
      <c r="AM22" s="16" t="s">
        <v>43</v>
      </c>
      <c r="AN22" s="41"/>
      <c r="AO22" s="41"/>
      <c r="AP22" s="30"/>
      <c r="AQ22" s="9">
        <v>16</v>
      </c>
      <c r="AR22" s="9" t="s">
        <v>18</v>
      </c>
      <c r="AS22" s="9" t="str">
        <f t="shared" si="5"/>
        <v>May</v>
      </c>
      <c r="AT22" s="10">
        <v>10016</v>
      </c>
      <c r="AU22" s="15">
        <f t="shared" si="6"/>
        <v>21</v>
      </c>
      <c r="AV22" s="15">
        <f t="shared" si="7"/>
        <v>4</v>
      </c>
      <c r="AW22" s="15">
        <f t="shared" si="8"/>
        <v>1</v>
      </c>
      <c r="AX22" s="15">
        <f t="shared" si="9"/>
        <v>4</v>
      </c>
      <c r="AY22" s="25">
        <f t="shared" si="10"/>
        <v>31</v>
      </c>
      <c r="AZ22" s="25">
        <f>JanReport17[[#This Row],[Days]]-JanReport17[[#This Row],[Abesent]]</f>
        <v>27</v>
      </c>
      <c r="BA22" s="26">
        <v>32000</v>
      </c>
      <c r="BB22" s="27">
        <f>JanReport17[[#This Row],[Salary]]/JanReport17[[#This Row],[Days]]</f>
        <v>1032.258064516129</v>
      </c>
      <c r="BC22" s="27">
        <f>JanReport17[[#This Row],[PerDaySalary]]*JanReport17[[#This Row],[Abesent]]</f>
        <v>4129.0322580645161</v>
      </c>
      <c r="BD22" s="27">
        <f>JanReport17[[#This Row],[Salary]]-JanReport17[[#This Row],[Deduction]]</f>
        <v>27870.967741935485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4</v>
      </c>
      <c r="I23" s="15" t="s">
        <v>41</v>
      </c>
      <c r="J23" s="15" t="s">
        <v>41</v>
      </c>
      <c r="K23" s="15"/>
      <c r="L23" s="15" t="str">
        <f t="shared" ref="L23:S26" si="11">IF(L$5="Sun","WO","")</f>
        <v>WO</v>
      </c>
      <c r="M23" s="15" t="s">
        <v>41</v>
      </c>
      <c r="N23" s="15" t="s">
        <v>41</v>
      </c>
      <c r="O23" s="15" t="s">
        <v>41</v>
      </c>
      <c r="P23" s="15" t="s">
        <v>41</v>
      </c>
      <c r="Q23" s="15" t="s">
        <v>41</v>
      </c>
      <c r="R23" s="15" t="s">
        <v>41</v>
      </c>
      <c r="S23" s="15" t="str">
        <f t="shared" si="11"/>
        <v>WO</v>
      </c>
      <c r="T23" s="15" t="s">
        <v>41</v>
      </c>
      <c r="U23" s="15" t="s">
        <v>41</v>
      </c>
      <c r="V23" s="15" t="s">
        <v>41</v>
      </c>
      <c r="W23" s="15" t="s">
        <v>41</v>
      </c>
      <c r="X23" s="15" t="s">
        <v>41</v>
      </c>
      <c r="Y23" s="15" t="s">
        <v>41</v>
      </c>
      <c r="Z23" s="15" t="str">
        <f t="shared" ref="Z23:AG26" si="12">IF(Z$5="Sun","WO","")</f>
        <v>WO</v>
      </c>
      <c r="AA23" s="15" t="s">
        <v>41</v>
      </c>
      <c r="AB23" s="15" t="s">
        <v>41</v>
      </c>
      <c r="AC23" s="15" t="s">
        <v>41</v>
      </c>
      <c r="AD23" s="15" t="s">
        <v>41</v>
      </c>
      <c r="AE23" s="15" t="s">
        <v>41</v>
      </c>
      <c r="AF23" s="15" t="s">
        <v>41</v>
      </c>
      <c r="AG23" s="15" t="str">
        <f t="shared" si="12"/>
        <v>WO</v>
      </c>
      <c r="AH23" s="15" t="s">
        <v>41</v>
      </c>
      <c r="AI23" s="15" t="s">
        <v>41</v>
      </c>
      <c r="AJ23" s="15" t="s">
        <v>41</v>
      </c>
      <c r="AK23" s="15" t="s">
        <v>41</v>
      </c>
      <c r="AL23" s="15" t="s">
        <v>41</v>
      </c>
      <c r="AM23" s="16" t="s">
        <v>43</v>
      </c>
      <c r="AN23" s="41"/>
      <c r="AO23" s="41"/>
      <c r="AP23" s="30"/>
      <c r="AQ23" s="9">
        <v>17</v>
      </c>
      <c r="AR23" s="9" t="s">
        <v>19</v>
      </c>
      <c r="AS23" s="9" t="str">
        <f t="shared" si="5"/>
        <v>May</v>
      </c>
      <c r="AT23" s="10">
        <v>10017</v>
      </c>
      <c r="AU23" s="15">
        <f t="shared" si="6"/>
        <v>25</v>
      </c>
      <c r="AV23" s="15">
        <f t="shared" si="7"/>
        <v>0</v>
      </c>
      <c r="AW23" s="15">
        <f t="shared" si="8"/>
        <v>1</v>
      </c>
      <c r="AX23" s="15">
        <f t="shared" si="9"/>
        <v>4</v>
      </c>
      <c r="AY23" s="25">
        <f t="shared" si="10"/>
        <v>31</v>
      </c>
      <c r="AZ23" s="25">
        <f>JanReport17[[#This Row],[Days]]-JanReport17[[#This Row],[Abesent]]</f>
        <v>31</v>
      </c>
      <c r="BA23" s="26">
        <v>35000</v>
      </c>
      <c r="BB23" s="27">
        <f>JanReport17[[#This Row],[Salary]]/JanReport17[[#This Row],[Days]]</f>
        <v>1129.0322580645161</v>
      </c>
      <c r="BC23" s="27">
        <f>JanReport17[[#This Row],[PerDaySalary]]*JanReport17[[#This Row],[Abesent]]</f>
        <v>0</v>
      </c>
      <c r="BD23" s="27">
        <f>JanReport17[[#This Row],[Salary]]-JanReport17[[#This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4</v>
      </c>
      <c r="I24" s="15" t="s">
        <v>41</v>
      </c>
      <c r="J24" s="15" t="s">
        <v>41</v>
      </c>
      <c r="K24" s="15"/>
      <c r="L24" s="15" t="str">
        <f t="shared" si="11"/>
        <v>WO</v>
      </c>
      <c r="M24" s="15" t="s">
        <v>41</v>
      </c>
      <c r="N24" s="15" t="s">
        <v>41</v>
      </c>
      <c r="O24" s="15" t="s">
        <v>41</v>
      </c>
      <c r="P24" s="15" t="s">
        <v>41</v>
      </c>
      <c r="Q24" s="15" t="s">
        <v>41</v>
      </c>
      <c r="R24" s="15" t="s">
        <v>41</v>
      </c>
      <c r="S24" s="15" t="str">
        <f t="shared" si="11"/>
        <v>WO</v>
      </c>
      <c r="T24" s="15" t="s">
        <v>41</v>
      </c>
      <c r="U24" s="15" t="s">
        <v>41</v>
      </c>
      <c r="V24" s="15" t="s">
        <v>41</v>
      </c>
      <c r="W24" s="15" t="s">
        <v>41</v>
      </c>
      <c r="X24" s="15" t="s">
        <v>41</v>
      </c>
      <c r="Y24" s="15" t="s">
        <v>41</v>
      </c>
      <c r="Z24" s="15" t="str">
        <f t="shared" si="12"/>
        <v>WO</v>
      </c>
      <c r="AA24" s="15" t="s">
        <v>41</v>
      </c>
      <c r="AB24" s="15" t="s">
        <v>41</v>
      </c>
      <c r="AC24" s="15" t="s">
        <v>41</v>
      </c>
      <c r="AD24" s="15" t="s">
        <v>41</v>
      </c>
      <c r="AE24" s="15" t="s">
        <v>41</v>
      </c>
      <c r="AF24" s="15" t="s">
        <v>41</v>
      </c>
      <c r="AG24" s="15" t="str">
        <f t="shared" si="12"/>
        <v>WO</v>
      </c>
      <c r="AH24" s="15" t="s">
        <v>41</v>
      </c>
      <c r="AI24" s="15" t="s">
        <v>41</v>
      </c>
      <c r="AJ24" s="15" t="s">
        <v>41</v>
      </c>
      <c r="AK24" s="15" t="s">
        <v>41</v>
      </c>
      <c r="AL24" s="15" t="s">
        <v>41</v>
      </c>
      <c r="AM24" s="16" t="s">
        <v>43</v>
      </c>
      <c r="AN24" s="41"/>
      <c r="AO24" s="41"/>
      <c r="AP24" s="30"/>
      <c r="AQ24" s="9">
        <v>18</v>
      </c>
      <c r="AR24" s="9" t="s">
        <v>20</v>
      </c>
      <c r="AS24" s="9" t="str">
        <f t="shared" si="5"/>
        <v>May</v>
      </c>
      <c r="AT24" s="10">
        <v>10018</v>
      </c>
      <c r="AU24" s="15">
        <f t="shared" si="6"/>
        <v>25</v>
      </c>
      <c r="AV24" s="15">
        <f t="shared" si="7"/>
        <v>0</v>
      </c>
      <c r="AW24" s="15">
        <f t="shared" si="8"/>
        <v>1</v>
      </c>
      <c r="AX24" s="15">
        <f t="shared" si="9"/>
        <v>4</v>
      </c>
      <c r="AY24" s="25">
        <f t="shared" si="10"/>
        <v>31</v>
      </c>
      <c r="AZ24" s="25">
        <f>JanReport17[[#This Row],[Days]]-JanReport17[[#This Row],[Abesent]]</f>
        <v>31</v>
      </c>
      <c r="BA24" s="26">
        <v>28000</v>
      </c>
      <c r="BB24" s="27">
        <f>JanReport17[[#This Row],[Salary]]/JanReport17[[#This Row],[Days]]</f>
        <v>903.22580645161293</v>
      </c>
      <c r="BC24" s="27">
        <f>JanReport17[[#This Row],[PerDaySalary]]*JanReport17[[#This Row],[Abesent]]</f>
        <v>0</v>
      </c>
      <c r="BD24" s="27">
        <f>JanReport17[[#This Row],[Salary]]-JanReport17[[#This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4</v>
      </c>
      <c r="I25" s="15" t="s">
        <v>41</v>
      </c>
      <c r="J25" s="15" t="s">
        <v>41</v>
      </c>
      <c r="K25" s="15"/>
      <c r="L25" s="15" t="str">
        <f t="shared" si="11"/>
        <v>WO</v>
      </c>
      <c r="M25" s="15" t="s">
        <v>41</v>
      </c>
      <c r="N25" s="15" t="s">
        <v>41</v>
      </c>
      <c r="O25" s="15" t="s">
        <v>41</v>
      </c>
      <c r="P25" s="15" t="s">
        <v>41</v>
      </c>
      <c r="Q25" s="15" t="s">
        <v>41</v>
      </c>
      <c r="R25" s="15" t="s">
        <v>41</v>
      </c>
      <c r="S25" s="15" t="str">
        <f t="shared" si="11"/>
        <v>WO</v>
      </c>
      <c r="T25" s="15" t="s">
        <v>41</v>
      </c>
      <c r="U25" s="15" t="s">
        <v>41</v>
      </c>
      <c r="V25" s="15" t="s">
        <v>41</v>
      </c>
      <c r="W25" s="15" t="s">
        <v>41</v>
      </c>
      <c r="X25" s="15" t="s">
        <v>41</v>
      </c>
      <c r="Y25" s="15" t="s">
        <v>41</v>
      </c>
      <c r="Z25" s="15" t="str">
        <f t="shared" si="12"/>
        <v>WO</v>
      </c>
      <c r="AA25" s="15" t="s">
        <v>41</v>
      </c>
      <c r="AB25" s="15" t="s">
        <v>41</v>
      </c>
      <c r="AC25" s="15" t="s">
        <v>41</v>
      </c>
      <c r="AD25" s="15" t="s">
        <v>41</v>
      </c>
      <c r="AE25" s="15" t="s">
        <v>41</v>
      </c>
      <c r="AF25" s="15" t="s">
        <v>41</v>
      </c>
      <c r="AG25" s="15" t="str">
        <f t="shared" si="12"/>
        <v>WO</v>
      </c>
      <c r="AH25" s="15" t="s">
        <v>41</v>
      </c>
      <c r="AI25" s="15" t="s">
        <v>41</v>
      </c>
      <c r="AJ25" s="15" t="s">
        <v>41</v>
      </c>
      <c r="AK25" s="15" t="s">
        <v>41</v>
      </c>
      <c r="AL25" s="15" t="s">
        <v>41</v>
      </c>
      <c r="AM25" s="16" t="s">
        <v>43</v>
      </c>
      <c r="AN25" s="41"/>
      <c r="AO25" s="41"/>
      <c r="AP25" s="30"/>
      <c r="AQ25" s="9">
        <v>19</v>
      </c>
      <c r="AR25" s="9" t="s">
        <v>21</v>
      </c>
      <c r="AS25" s="9" t="str">
        <f t="shared" si="5"/>
        <v>May</v>
      </c>
      <c r="AT25" s="10">
        <v>10019</v>
      </c>
      <c r="AU25" s="15">
        <f t="shared" si="6"/>
        <v>25</v>
      </c>
      <c r="AV25" s="15">
        <f t="shared" si="7"/>
        <v>0</v>
      </c>
      <c r="AW25" s="15">
        <f t="shared" si="8"/>
        <v>1</v>
      </c>
      <c r="AX25" s="15">
        <f t="shared" si="9"/>
        <v>4</v>
      </c>
      <c r="AY25" s="25">
        <f t="shared" si="10"/>
        <v>31</v>
      </c>
      <c r="AZ25" s="25">
        <f>JanReport17[[#This Row],[Days]]-JanReport17[[#This Row],[Abesent]]</f>
        <v>31</v>
      </c>
      <c r="BA25" s="26">
        <v>19000</v>
      </c>
      <c r="BB25" s="27">
        <f>JanReport17[[#This Row],[Salary]]/JanReport17[[#This Row],[Days]]</f>
        <v>612.90322580645159</v>
      </c>
      <c r="BC25" s="27">
        <f>JanReport17[[#This Row],[PerDaySalary]]*JanReport17[[#This Row],[Abesent]]</f>
        <v>0</v>
      </c>
      <c r="BD25" s="27">
        <f>JanReport17[[#This Row],[Salary]]-JanReport17[[#This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4</v>
      </c>
      <c r="I26" s="17" t="s">
        <v>41</v>
      </c>
      <c r="J26" s="17" t="s">
        <v>41</v>
      </c>
      <c r="K26" s="17"/>
      <c r="L26" s="17" t="str">
        <f t="shared" si="11"/>
        <v>WO</v>
      </c>
      <c r="M26" s="17" t="s">
        <v>41</v>
      </c>
      <c r="N26" s="17" t="s">
        <v>41</v>
      </c>
      <c r="O26" s="17" t="s">
        <v>41</v>
      </c>
      <c r="P26" s="17" t="s">
        <v>41</v>
      </c>
      <c r="Q26" s="17" t="s">
        <v>41</v>
      </c>
      <c r="R26" s="17" t="s">
        <v>41</v>
      </c>
      <c r="S26" s="17" t="str">
        <f t="shared" si="11"/>
        <v>WO</v>
      </c>
      <c r="T26" s="17" t="s">
        <v>41</v>
      </c>
      <c r="U26" s="17" t="s">
        <v>41</v>
      </c>
      <c r="V26" s="17" t="s">
        <v>41</v>
      </c>
      <c r="W26" s="17" t="s">
        <v>41</v>
      </c>
      <c r="X26" s="17" t="s">
        <v>41</v>
      </c>
      <c r="Y26" s="17" t="s">
        <v>41</v>
      </c>
      <c r="Z26" s="17" t="str">
        <f t="shared" si="12"/>
        <v>WO</v>
      </c>
      <c r="AA26" s="17" t="s">
        <v>41</v>
      </c>
      <c r="AB26" s="17" t="s">
        <v>41</v>
      </c>
      <c r="AC26" s="17" t="s">
        <v>41</v>
      </c>
      <c r="AD26" s="17" t="s">
        <v>41</v>
      </c>
      <c r="AE26" s="17" t="s">
        <v>41</v>
      </c>
      <c r="AF26" s="17" t="s">
        <v>41</v>
      </c>
      <c r="AG26" s="17" t="str">
        <f t="shared" si="12"/>
        <v>WO</v>
      </c>
      <c r="AH26" s="17" t="s">
        <v>41</v>
      </c>
      <c r="AI26" s="17" t="s">
        <v>41</v>
      </c>
      <c r="AJ26" s="17" t="s">
        <v>41</v>
      </c>
      <c r="AK26" s="17" t="s">
        <v>41</v>
      </c>
      <c r="AL26" s="17" t="s">
        <v>41</v>
      </c>
      <c r="AM26" s="16" t="s">
        <v>43</v>
      </c>
      <c r="AN26" s="41"/>
      <c r="AO26" s="41"/>
      <c r="AP26" s="30"/>
      <c r="AQ26" s="9">
        <v>20</v>
      </c>
      <c r="AR26" s="9" t="s">
        <v>22</v>
      </c>
      <c r="AS26" s="9" t="str">
        <f t="shared" si="5"/>
        <v>May</v>
      </c>
      <c r="AT26" s="10">
        <v>10020</v>
      </c>
      <c r="AU26" s="15">
        <f t="shared" si="6"/>
        <v>25</v>
      </c>
      <c r="AV26" s="15">
        <f t="shared" si="7"/>
        <v>0</v>
      </c>
      <c r="AW26" s="15">
        <f t="shared" si="8"/>
        <v>1</v>
      </c>
      <c r="AX26" s="15">
        <f t="shared" si="9"/>
        <v>4</v>
      </c>
      <c r="AY26" s="25">
        <f t="shared" si="10"/>
        <v>31</v>
      </c>
      <c r="AZ26" s="25">
        <f>JanReport17[[#This Row],[Days]]-JanReport17[[#This Row],[Abesent]]</f>
        <v>31</v>
      </c>
      <c r="BA26" s="26">
        <v>20000</v>
      </c>
      <c r="BB26" s="27">
        <f>JanReport17[[#This Row],[Salary]]/JanReport17[[#This Row],[Days]]</f>
        <v>645.16129032258061</v>
      </c>
      <c r="BC26" s="27">
        <f>JanReport17[[#This Row],[PerDaySalary]]*JanReport17[[#This Row],[Abesent]]</f>
        <v>0</v>
      </c>
      <c r="BD26" s="27">
        <f>JanReport17[[#This Row],[Salary]]-JanReport17[[#This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31" priority="1" operator="containsText" text="L">
      <formula>NOT(ISERROR(SEARCH("L",I7)))</formula>
    </cfRule>
    <cfRule type="containsText" dxfId="30" priority="2" operator="containsText" text="A">
      <formula>NOT(ISERROR(SEARCH("A",I7)))</formula>
    </cfRule>
    <cfRule type="containsText" dxfId="29" priority="3" operator="containsText" text="P">
      <formula>NOT(ISERROR(SEARCH("P",I7)))</formula>
    </cfRule>
    <cfRule type="containsText" dxfId="28" priority="4" operator="containsText" text="WO">
      <formula>NOT(ISERROR(SEARCH("WO",I7)))</formula>
    </cfRule>
  </conditionalFormatting>
  <dataValidations count="1">
    <dataValidation type="list" allowBlank="1" showInputMessage="1" showErrorMessage="1" sqref="AA7:AF26 T7:Y26 M7:R26 I7:K26 AH7:AM26" xr:uid="{A3636AE3-4C47-484D-9B0C-7316084F9ECC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AF5655-D96B-488C-AFB3-B97514C8ED02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2917DC5-0EBB-4EFE-8490-B95B451829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May!AU7:AW7</xm:f>
              <xm:sqref>BE7</xm:sqref>
            </x14:sparkline>
            <x14:sparkline>
              <xm:f>May!AU8:AW8</xm:f>
              <xm:sqref>BE8</xm:sqref>
            </x14:sparkline>
            <x14:sparkline>
              <xm:f>May!AU9:AW9</xm:f>
              <xm:sqref>BE9</xm:sqref>
            </x14:sparkline>
            <x14:sparkline>
              <xm:f>May!AU10:AW10</xm:f>
              <xm:sqref>BE10</xm:sqref>
            </x14:sparkline>
            <x14:sparkline>
              <xm:f>May!AU11:AW11</xm:f>
              <xm:sqref>BE11</xm:sqref>
            </x14:sparkline>
            <x14:sparkline>
              <xm:f>May!AU12:AW12</xm:f>
              <xm:sqref>BE12</xm:sqref>
            </x14:sparkline>
            <x14:sparkline>
              <xm:f>May!AU13:AW13</xm:f>
              <xm:sqref>BE13</xm:sqref>
            </x14:sparkline>
            <x14:sparkline>
              <xm:f>May!AU14:AW14</xm:f>
              <xm:sqref>BE14</xm:sqref>
            </x14:sparkline>
            <x14:sparkline>
              <xm:f>May!AU15:AW15</xm:f>
              <xm:sqref>BE15</xm:sqref>
            </x14:sparkline>
            <x14:sparkline>
              <xm:f>May!AU16:AW16</xm:f>
              <xm:sqref>BE16</xm:sqref>
            </x14:sparkline>
            <x14:sparkline>
              <xm:f>May!AU17:AW17</xm:f>
              <xm:sqref>BE17</xm:sqref>
            </x14:sparkline>
            <x14:sparkline>
              <xm:f>May!AU18:AW18</xm:f>
              <xm:sqref>BE18</xm:sqref>
            </x14:sparkline>
            <x14:sparkline>
              <xm:f>May!AU19:AW19</xm:f>
              <xm:sqref>BE19</xm:sqref>
            </x14:sparkline>
            <x14:sparkline>
              <xm:f>May!AU20:AW20</xm:f>
              <xm:sqref>BE20</xm:sqref>
            </x14:sparkline>
            <x14:sparkline>
              <xm:f>May!AU21:AW21</xm:f>
              <xm:sqref>BE21</xm:sqref>
            </x14:sparkline>
            <x14:sparkline>
              <xm:f>May!AU22:AW22</xm:f>
              <xm:sqref>BE22</xm:sqref>
            </x14:sparkline>
            <x14:sparkline>
              <xm:f>May!AU23:AW23</xm:f>
              <xm:sqref>BE23</xm:sqref>
            </x14:sparkline>
            <x14:sparkline>
              <xm:f>May!AU24:AW24</xm:f>
              <xm:sqref>BE24</xm:sqref>
            </x14:sparkline>
            <x14:sparkline>
              <xm:f>May!AU25:AW25</xm:f>
              <xm:sqref>BE25</xm:sqref>
            </x14:sparkline>
            <x14:sparkline>
              <xm:f>May!AU26:AW26</xm:f>
              <xm:sqref>BE26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A445-9764-4424-8F37-3BB692179669}">
  <dimension ref="A1:BI32"/>
  <sheetViews>
    <sheetView zoomScaleNormal="100" workbookViewId="0"/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45809</v>
      </c>
      <c r="G4" s="42" t="str">
        <f>TEXT(F4,"MMMM")</f>
        <v>June</v>
      </c>
      <c r="H4" s="44">
        <f>(DATEDIF(F4,J4,"D"))+1</f>
        <v>30</v>
      </c>
      <c r="I4" s="42" t="s">
        <v>26</v>
      </c>
      <c r="J4" s="47">
        <f>EOMONTH(F4,0)</f>
        <v>45838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Sun</v>
      </c>
      <c r="J5" s="13" t="str">
        <f t="shared" ref="J5:AM5" si="0">TEXT(J6,"ddd")</f>
        <v>Mon</v>
      </c>
      <c r="K5" s="13" t="str">
        <f t="shared" si="0"/>
        <v>Tue</v>
      </c>
      <c r="L5" s="13" t="str">
        <f t="shared" si="0"/>
        <v>Wed</v>
      </c>
      <c r="M5" s="13" t="str">
        <f t="shared" si="0"/>
        <v>Thu</v>
      </c>
      <c r="N5" s="13" t="str">
        <f t="shared" si="0"/>
        <v>Fri</v>
      </c>
      <c r="O5" s="13" t="str">
        <f t="shared" si="0"/>
        <v>Sat</v>
      </c>
      <c r="P5" s="13" t="str">
        <f t="shared" si="0"/>
        <v>Sun</v>
      </c>
      <c r="Q5" s="13" t="str">
        <f t="shared" si="0"/>
        <v>Mon</v>
      </c>
      <c r="R5" s="13" t="str">
        <f t="shared" si="0"/>
        <v>Tue</v>
      </c>
      <c r="S5" s="13" t="str">
        <f t="shared" si="0"/>
        <v>Wed</v>
      </c>
      <c r="T5" s="13" t="str">
        <f t="shared" si="0"/>
        <v>Thu</v>
      </c>
      <c r="U5" s="13" t="str">
        <f t="shared" si="0"/>
        <v>Fri</v>
      </c>
      <c r="V5" s="13" t="str">
        <f t="shared" si="0"/>
        <v>Sat</v>
      </c>
      <c r="W5" s="13" t="str">
        <f t="shared" si="0"/>
        <v>Sun</v>
      </c>
      <c r="X5" s="13" t="str">
        <f t="shared" si="0"/>
        <v>Mon</v>
      </c>
      <c r="Y5" s="13" t="str">
        <f t="shared" si="0"/>
        <v>Tue</v>
      </c>
      <c r="Z5" s="13" t="str">
        <f t="shared" si="0"/>
        <v>Wed</v>
      </c>
      <c r="AA5" s="13" t="str">
        <f t="shared" si="0"/>
        <v>Thu</v>
      </c>
      <c r="AB5" s="13" t="str">
        <f t="shared" si="0"/>
        <v>Fri</v>
      </c>
      <c r="AC5" s="13" t="str">
        <f t="shared" si="0"/>
        <v>Sat</v>
      </c>
      <c r="AD5" s="13" t="str">
        <f t="shared" si="0"/>
        <v>Sun</v>
      </c>
      <c r="AE5" s="13" t="str">
        <f t="shared" si="0"/>
        <v>Mon</v>
      </c>
      <c r="AF5" s="13" t="str">
        <f t="shared" si="0"/>
        <v>Tue</v>
      </c>
      <c r="AG5" s="13" t="str">
        <f t="shared" si="0"/>
        <v>Wed</v>
      </c>
      <c r="AH5" s="13" t="str">
        <f t="shared" si="0"/>
        <v>Thu</v>
      </c>
      <c r="AI5" s="13" t="str">
        <f t="shared" si="0"/>
        <v>Fri</v>
      </c>
      <c r="AJ5" s="13" t="str">
        <f t="shared" si="0"/>
        <v>Sat</v>
      </c>
      <c r="AK5" s="13" t="str">
        <f t="shared" si="0"/>
        <v>Sun</v>
      </c>
      <c r="AL5" s="13" t="str">
        <f t="shared" si="0"/>
        <v>Mon</v>
      </c>
      <c r="AM5" s="14" t="str">
        <f t="shared" si="0"/>
        <v/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45809</v>
      </c>
      <c r="J6" s="34">
        <f>IF(I6&lt;$J$4,I6+1,"")</f>
        <v>45810</v>
      </c>
      <c r="K6" s="34">
        <f t="shared" ref="K6:AM6" si="1">IF(J6&lt;$J$4,J6+1,"")</f>
        <v>45811</v>
      </c>
      <c r="L6" s="34">
        <f t="shared" si="1"/>
        <v>45812</v>
      </c>
      <c r="M6" s="34">
        <f t="shared" si="1"/>
        <v>45813</v>
      </c>
      <c r="N6" s="34">
        <f t="shared" si="1"/>
        <v>45814</v>
      </c>
      <c r="O6" s="34">
        <f t="shared" si="1"/>
        <v>45815</v>
      </c>
      <c r="P6" s="34">
        <f t="shared" si="1"/>
        <v>45816</v>
      </c>
      <c r="Q6" s="34">
        <f t="shared" si="1"/>
        <v>45817</v>
      </c>
      <c r="R6" s="34">
        <f t="shared" si="1"/>
        <v>45818</v>
      </c>
      <c r="S6" s="34">
        <f t="shared" si="1"/>
        <v>45819</v>
      </c>
      <c r="T6" s="34">
        <f t="shared" si="1"/>
        <v>45820</v>
      </c>
      <c r="U6" s="34">
        <f t="shared" si="1"/>
        <v>45821</v>
      </c>
      <c r="V6" s="34">
        <f t="shared" si="1"/>
        <v>45822</v>
      </c>
      <c r="W6" s="34">
        <f t="shared" si="1"/>
        <v>45823</v>
      </c>
      <c r="X6" s="34">
        <f t="shared" si="1"/>
        <v>45824</v>
      </c>
      <c r="Y6" s="34">
        <f t="shared" si="1"/>
        <v>45825</v>
      </c>
      <c r="Z6" s="34">
        <f t="shared" si="1"/>
        <v>45826</v>
      </c>
      <c r="AA6" s="34">
        <f t="shared" si="1"/>
        <v>45827</v>
      </c>
      <c r="AB6" s="34">
        <f t="shared" si="1"/>
        <v>45828</v>
      </c>
      <c r="AC6" s="34">
        <f t="shared" si="1"/>
        <v>45829</v>
      </c>
      <c r="AD6" s="34">
        <f t="shared" si="1"/>
        <v>45830</v>
      </c>
      <c r="AE6" s="34">
        <f t="shared" si="1"/>
        <v>45831</v>
      </c>
      <c r="AF6" s="34">
        <f t="shared" si="1"/>
        <v>45832</v>
      </c>
      <c r="AG6" s="34">
        <f t="shared" si="1"/>
        <v>45833</v>
      </c>
      <c r="AH6" s="34">
        <f t="shared" si="1"/>
        <v>45834</v>
      </c>
      <c r="AI6" s="34">
        <f t="shared" si="1"/>
        <v>45835</v>
      </c>
      <c r="AJ6" s="34">
        <f t="shared" si="1"/>
        <v>45836</v>
      </c>
      <c r="AK6" s="34">
        <f t="shared" si="1"/>
        <v>45837</v>
      </c>
      <c r="AL6" s="34">
        <f t="shared" si="1"/>
        <v>45838</v>
      </c>
      <c r="AM6" s="36" t="str">
        <f t="shared" si="1"/>
        <v/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5</v>
      </c>
      <c r="I7" s="15" t="str">
        <f t="shared" ref="I7:W22" si="3">IF(I$5="Sun","WO","")</f>
        <v>WO</v>
      </c>
      <c r="J7" s="15" t="s">
        <v>41</v>
      </c>
      <c r="K7" s="15" t="s">
        <v>41</v>
      </c>
      <c r="L7" s="15" t="s">
        <v>41</v>
      </c>
      <c r="M7" s="15" t="s">
        <v>41</v>
      </c>
      <c r="N7" s="15" t="s">
        <v>41</v>
      </c>
      <c r="O7" s="15" t="s">
        <v>41</v>
      </c>
      <c r="P7" s="15" t="str">
        <f t="shared" si="3"/>
        <v>WO</v>
      </c>
      <c r="Q7" s="15" t="s">
        <v>41</v>
      </c>
      <c r="R7" s="15" t="s">
        <v>41</v>
      </c>
      <c r="S7" s="15" t="s">
        <v>41</v>
      </c>
      <c r="T7" s="15" t="s">
        <v>41</v>
      </c>
      <c r="U7" s="15" t="s">
        <v>41</v>
      </c>
      <c r="V7" s="15" t="s">
        <v>41</v>
      </c>
      <c r="W7" s="15" t="str">
        <f t="shared" si="3"/>
        <v>WO</v>
      </c>
      <c r="X7" s="15" t="s">
        <v>41</v>
      </c>
      <c r="Y7" s="15" t="s">
        <v>41</v>
      </c>
      <c r="Z7" s="15" t="s">
        <v>41</v>
      </c>
      <c r="AA7" s="15" t="s">
        <v>41</v>
      </c>
      <c r="AB7" s="15" t="s">
        <v>41</v>
      </c>
      <c r="AC7" s="15" t="s">
        <v>41</v>
      </c>
      <c r="AD7" s="15" t="str">
        <f t="shared" ref="AD7:AK22" si="4">IF(AD$5="Sun","WO","")</f>
        <v>WO</v>
      </c>
      <c r="AE7" s="15" t="s">
        <v>41</v>
      </c>
      <c r="AF7" s="15" t="s">
        <v>41</v>
      </c>
      <c r="AG7" s="15" t="s">
        <v>41</v>
      </c>
      <c r="AH7" s="15" t="s">
        <v>41</v>
      </c>
      <c r="AI7" s="15" t="s">
        <v>41</v>
      </c>
      <c r="AJ7" s="15" t="s">
        <v>41</v>
      </c>
      <c r="AK7" s="15" t="str">
        <f t="shared" si="4"/>
        <v>WO</v>
      </c>
      <c r="AL7" s="15" t="s">
        <v>41</v>
      </c>
      <c r="AM7" s="16"/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June</v>
      </c>
      <c r="AT7" s="7">
        <v>10001</v>
      </c>
      <c r="AU7" s="21">
        <f t="shared" ref="AU7:AU26" si="6">COUNTIF($I7:$AM7,"P")</f>
        <v>25</v>
      </c>
      <c r="AV7" s="21">
        <f t="shared" ref="AV7:AV26" si="7">COUNTIF($I7:$AM7,"A")</f>
        <v>0</v>
      </c>
      <c r="AW7" s="21">
        <f t="shared" ref="AW7:AW26" si="8">COUNTIF($I7:$AM7,"L")</f>
        <v>0</v>
      </c>
      <c r="AX7" s="21">
        <f t="shared" ref="AX7:AX26" si="9">$H$7</f>
        <v>5</v>
      </c>
      <c r="AY7" s="22">
        <f t="shared" ref="AY7:AY26" si="10">$H$4</f>
        <v>30</v>
      </c>
      <c r="AZ7" s="22">
        <f>JanReport18[[#This Row],[Days]]-JanReport18[[#This Row],[Abesent]]</f>
        <v>30</v>
      </c>
      <c r="BA7" s="23">
        <v>10000</v>
      </c>
      <c r="BB7" s="24">
        <f>JanReport18[[#This Row],[Salary]]/JanReport18[[#This Row],[Days]]</f>
        <v>333.33333333333331</v>
      </c>
      <c r="BC7" s="24">
        <f>JanReport18[[#This Row],[PerDaySalary]]*JanReport18[[#This Row],[Abesent]]</f>
        <v>0</v>
      </c>
      <c r="BD7" s="24">
        <f>JanReport18[[#This Row],[Salary]]-JanReport18[[#This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5</v>
      </c>
      <c r="I8" s="15" t="str">
        <f t="shared" si="3"/>
        <v>WO</v>
      </c>
      <c r="J8" s="15" t="s">
        <v>41</v>
      </c>
      <c r="K8" s="15" t="s">
        <v>41</v>
      </c>
      <c r="L8" s="15" t="s">
        <v>41</v>
      </c>
      <c r="M8" s="15" t="s">
        <v>41</v>
      </c>
      <c r="N8" s="15" t="s">
        <v>41</v>
      </c>
      <c r="O8" s="15" t="s">
        <v>41</v>
      </c>
      <c r="P8" s="15" t="str">
        <f t="shared" si="3"/>
        <v>WO</v>
      </c>
      <c r="Q8" s="15" t="s">
        <v>41</v>
      </c>
      <c r="R8" s="15" t="s">
        <v>41</v>
      </c>
      <c r="S8" s="15" t="s">
        <v>41</v>
      </c>
      <c r="T8" s="15" t="s">
        <v>41</v>
      </c>
      <c r="U8" s="15" t="s">
        <v>41</v>
      </c>
      <c r="V8" s="15" t="s">
        <v>41</v>
      </c>
      <c r="W8" s="15" t="str">
        <f t="shared" si="3"/>
        <v>WO</v>
      </c>
      <c r="X8" s="15" t="s">
        <v>41</v>
      </c>
      <c r="Y8" s="15" t="s">
        <v>41</v>
      </c>
      <c r="Z8" s="15" t="s">
        <v>41</v>
      </c>
      <c r="AA8" s="15" t="s">
        <v>41</v>
      </c>
      <c r="AB8" s="15" t="s">
        <v>41</v>
      </c>
      <c r="AC8" s="15" t="s">
        <v>41</v>
      </c>
      <c r="AD8" s="15" t="str">
        <f t="shared" si="4"/>
        <v>WO</v>
      </c>
      <c r="AE8" s="15" t="s">
        <v>41</v>
      </c>
      <c r="AF8" s="15" t="s">
        <v>41</v>
      </c>
      <c r="AG8" s="15" t="s">
        <v>41</v>
      </c>
      <c r="AH8" s="15" t="s">
        <v>41</v>
      </c>
      <c r="AI8" s="15" t="s">
        <v>41</v>
      </c>
      <c r="AJ8" s="15" t="s">
        <v>41</v>
      </c>
      <c r="AK8" s="15" t="str">
        <f t="shared" si="4"/>
        <v>WO</v>
      </c>
      <c r="AL8" s="15" t="s">
        <v>41</v>
      </c>
      <c r="AM8" s="16"/>
      <c r="AN8" s="41"/>
      <c r="AO8" s="41"/>
      <c r="AP8" s="31"/>
      <c r="AQ8" s="9">
        <v>2</v>
      </c>
      <c r="AR8" s="9" t="s">
        <v>4</v>
      </c>
      <c r="AS8" s="9" t="str">
        <f t="shared" si="5"/>
        <v>June</v>
      </c>
      <c r="AT8" s="10">
        <v>10002</v>
      </c>
      <c r="AU8" s="15">
        <f t="shared" si="6"/>
        <v>25</v>
      </c>
      <c r="AV8" s="15">
        <f t="shared" si="7"/>
        <v>0</v>
      </c>
      <c r="AW8" s="15">
        <f t="shared" si="8"/>
        <v>0</v>
      </c>
      <c r="AX8" s="15">
        <f t="shared" si="9"/>
        <v>5</v>
      </c>
      <c r="AY8" s="25">
        <f t="shared" si="10"/>
        <v>30</v>
      </c>
      <c r="AZ8" s="25">
        <f>JanReport18[[#This Row],[Days]]-JanReport18[[#This Row],[Abesent]]</f>
        <v>30</v>
      </c>
      <c r="BA8" s="26">
        <v>15000</v>
      </c>
      <c r="BB8" s="27">
        <f>JanReport18[[#This Row],[Salary]]/JanReport18[[#This Row],[Days]]</f>
        <v>500</v>
      </c>
      <c r="BC8" s="27">
        <f>JanReport18[[#This Row],[PerDaySalary]]*JanReport18[[#This Row],[Abesent]]</f>
        <v>0</v>
      </c>
      <c r="BD8" s="27">
        <f>JanReport18[[#This Row],[Salary]]-JanReport18[[#This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5</v>
      </c>
      <c r="I9" s="15" t="str">
        <f t="shared" si="3"/>
        <v>WO</v>
      </c>
      <c r="J9" s="15" t="s">
        <v>41</v>
      </c>
      <c r="K9" s="15" t="s">
        <v>41</v>
      </c>
      <c r="L9" s="15" t="s">
        <v>41</v>
      </c>
      <c r="M9" s="15" t="s">
        <v>41</v>
      </c>
      <c r="N9" s="15" t="s">
        <v>41</v>
      </c>
      <c r="O9" s="15" t="s">
        <v>41</v>
      </c>
      <c r="P9" s="15" t="str">
        <f t="shared" si="3"/>
        <v>WO</v>
      </c>
      <c r="Q9" s="15" t="s">
        <v>41</v>
      </c>
      <c r="R9" s="15" t="s">
        <v>41</v>
      </c>
      <c r="S9" s="15" t="s">
        <v>41</v>
      </c>
      <c r="T9" s="15" t="s">
        <v>41</v>
      </c>
      <c r="U9" s="15" t="s">
        <v>41</v>
      </c>
      <c r="V9" s="15" t="s">
        <v>41</v>
      </c>
      <c r="W9" s="15" t="str">
        <f t="shared" si="3"/>
        <v>WO</v>
      </c>
      <c r="X9" s="15" t="s">
        <v>41</v>
      </c>
      <c r="Y9" s="15" t="s">
        <v>41</v>
      </c>
      <c r="Z9" s="15" t="s">
        <v>41</v>
      </c>
      <c r="AA9" s="15" t="s">
        <v>41</v>
      </c>
      <c r="AB9" s="15" t="s">
        <v>41</v>
      </c>
      <c r="AC9" s="15" t="s">
        <v>41</v>
      </c>
      <c r="AD9" s="15" t="str">
        <f t="shared" si="4"/>
        <v>WO</v>
      </c>
      <c r="AE9" s="15" t="s">
        <v>41</v>
      </c>
      <c r="AF9" s="15" t="s">
        <v>41</v>
      </c>
      <c r="AG9" s="15" t="s">
        <v>41</v>
      </c>
      <c r="AH9" s="15" t="s">
        <v>41</v>
      </c>
      <c r="AI9" s="15" t="s">
        <v>41</v>
      </c>
      <c r="AJ9" s="15" t="s">
        <v>41</v>
      </c>
      <c r="AK9" s="15" t="str">
        <f t="shared" si="4"/>
        <v>WO</v>
      </c>
      <c r="AL9" s="15" t="s">
        <v>41</v>
      </c>
      <c r="AM9" s="16"/>
      <c r="AN9" s="41"/>
      <c r="AO9" s="41"/>
      <c r="AP9" s="30"/>
      <c r="AQ9" s="9">
        <v>3</v>
      </c>
      <c r="AR9" s="9" t="s">
        <v>5</v>
      </c>
      <c r="AS9" s="9" t="str">
        <f t="shared" si="5"/>
        <v>June</v>
      </c>
      <c r="AT9" s="10">
        <v>10003</v>
      </c>
      <c r="AU9" s="15">
        <f t="shared" si="6"/>
        <v>25</v>
      </c>
      <c r="AV9" s="15">
        <f t="shared" si="7"/>
        <v>0</v>
      </c>
      <c r="AW9" s="15">
        <f t="shared" si="8"/>
        <v>0</v>
      </c>
      <c r="AX9" s="15">
        <f t="shared" si="9"/>
        <v>5</v>
      </c>
      <c r="AY9" s="25">
        <f t="shared" si="10"/>
        <v>30</v>
      </c>
      <c r="AZ9" s="25">
        <f>JanReport18[[#This Row],[Days]]-JanReport18[[#This Row],[Abesent]]</f>
        <v>30</v>
      </c>
      <c r="BA9" s="26">
        <v>20000</v>
      </c>
      <c r="BB9" s="27">
        <f>JanReport18[[#This Row],[Salary]]/JanReport18[[#This Row],[Days]]</f>
        <v>666.66666666666663</v>
      </c>
      <c r="BC9" s="27">
        <f>JanReport18[[#This Row],[PerDaySalary]]*JanReport18[[#This Row],[Abesent]]</f>
        <v>0</v>
      </c>
      <c r="BD9" s="27">
        <f>JanReport18[[#This Row],[Salary]]-JanReport18[[#This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5</v>
      </c>
      <c r="I10" s="15" t="str">
        <f t="shared" si="3"/>
        <v>WO</v>
      </c>
      <c r="J10" s="15" t="s">
        <v>41</v>
      </c>
      <c r="K10" s="15" t="s">
        <v>41</v>
      </c>
      <c r="L10" s="15" t="s">
        <v>41</v>
      </c>
      <c r="M10" s="45" t="s">
        <v>43</v>
      </c>
      <c r="N10" s="15" t="s">
        <v>41</v>
      </c>
      <c r="O10" s="15" t="s">
        <v>41</v>
      </c>
      <c r="P10" s="15" t="str">
        <f t="shared" si="3"/>
        <v>WO</v>
      </c>
      <c r="Q10" s="15" t="s">
        <v>41</v>
      </c>
      <c r="R10" s="15" t="s">
        <v>41</v>
      </c>
      <c r="S10" s="15" t="s">
        <v>41</v>
      </c>
      <c r="T10" s="45" t="s">
        <v>43</v>
      </c>
      <c r="U10" s="15" t="s">
        <v>41</v>
      </c>
      <c r="V10" s="15" t="s">
        <v>41</v>
      </c>
      <c r="W10" s="15" t="str">
        <f t="shared" si="3"/>
        <v>WO</v>
      </c>
      <c r="X10" s="15" t="s">
        <v>41</v>
      </c>
      <c r="Y10" s="15" t="s">
        <v>41</v>
      </c>
      <c r="Z10" s="15" t="s">
        <v>41</v>
      </c>
      <c r="AA10" s="45" t="s">
        <v>43</v>
      </c>
      <c r="AB10" s="15" t="s">
        <v>41</v>
      </c>
      <c r="AC10" s="15" t="s">
        <v>41</v>
      </c>
      <c r="AD10" s="15" t="str">
        <f t="shared" si="4"/>
        <v>WO</v>
      </c>
      <c r="AE10" s="15" t="s">
        <v>41</v>
      </c>
      <c r="AF10" s="15" t="s">
        <v>41</v>
      </c>
      <c r="AG10" s="15" t="s">
        <v>41</v>
      </c>
      <c r="AH10" s="45" t="s">
        <v>43</v>
      </c>
      <c r="AI10" s="15" t="s">
        <v>41</v>
      </c>
      <c r="AJ10" s="15" t="s">
        <v>41</v>
      </c>
      <c r="AK10" s="15" t="str">
        <f t="shared" si="4"/>
        <v>WO</v>
      </c>
      <c r="AL10" s="15" t="s">
        <v>41</v>
      </c>
      <c r="AM10" s="16"/>
      <c r="AN10" s="41"/>
      <c r="AO10" s="41"/>
      <c r="AP10" s="30"/>
      <c r="AQ10" s="9">
        <v>4</v>
      </c>
      <c r="AR10" s="9" t="s">
        <v>6</v>
      </c>
      <c r="AS10" s="9" t="str">
        <f t="shared" si="5"/>
        <v>June</v>
      </c>
      <c r="AT10" s="10">
        <v>10004</v>
      </c>
      <c r="AU10" s="15">
        <f t="shared" si="6"/>
        <v>21</v>
      </c>
      <c r="AV10" s="15">
        <f t="shared" si="7"/>
        <v>0</v>
      </c>
      <c r="AW10" s="15">
        <f t="shared" si="8"/>
        <v>4</v>
      </c>
      <c r="AX10" s="15">
        <f t="shared" si="9"/>
        <v>5</v>
      </c>
      <c r="AY10" s="25">
        <f t="shared" si="10"/>
        <v>30</v>
      </c>
      <c r="AZ10" s="25">
        <f>JanReport18[[#This Row],[Days]]-JanReport18[[#This Row],[Abesent]]</f>
        <v>30</v>
      </c>
      <c r="BA10" s="26">
        <v>21000</v>
      </c>
      <c r="BB10" s="27">
        <f>JanReport18[[#This Row],[Salary]]/JanReport18[[#This Row],[Days]]</f>
        <v>700</v>
      </c>
      <c r="BC10" s="27">
        <f>JanReport18[[#This Row],[PerDaySalary]]*JanReport18[[#This Row],[Abesent]]</f>
        <v>0</v>
      </c>
      <c r="BD10" s="27">
        <f>JanReport18[[#This Row],[Salary]]-JanReport18[[#This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5</v>
      </c>
      <c r="I11" s="15" t="str">
        <f t="shared" si="3"/>
        <v>WO</v>
      </c>
      <c r="J11" s="15" t="s">
        <v>41</v>
      </c>
      <c r="K11" s="15" t="s">
        <v>41</v>
      </c>
      <c r="L11" s="15" t="s">
        <v>41</v>
      </c>
      <c r="M11" s="15" t="s">
        <v>41</v>
      </c>
      <c r="N11" s="15" t="s">
        <v>41</v>
      </c>
      <c r="O11" s="15" t="s">
        <v>41</v>
      </c>
      <c r="P11" s="15" t="str">
        <f t="shared" si="3"/>
        <v>WO</v>
      </c>
      <c r="Q11" s="15" t="s">
        <v>41</v>
      </c>
      <c r="R11" s="15" t="s">
        <v>41</v>
      </c>
      <c r="S11" s="15" t="s">
        <v>41</v>
      </c>
      <c r="T11" s="15" t="s">
        <v>41</v>
      </c>
      <c r="U11" s="15" t="s">
        <v>41</v>
      </c>
      <c r="V11" s="15" t="s">
        <v>41</v>
      </c>
      <c r="W11" s="15" t="str">
        <f t="shared" si="3"/>
        <v>WO</v>
      </c>
      <c r="X11" s="15" t="s">
        <v>41</v>
      </c>
      <c r="Y11" s="15" t="s">
        <v>41</v>
      </c>
      <c r="Z11" s="15" t="s">
        <v>41</v>
      </c>
      <c r="AA11" s="15" t="s">
        <v>41</v>
      </c>
      <c r="AB11" s="15" t="s">
        <v>41</v>
      </c>
      <c r="AC11" s="15" t="s">
        <v>41</v>
      </c>
      <c r="AD11" s="15" t="str">
        <f t="shared" si="4"/>
        <v>WO</v>
      </c>
      <c r="AE11" s="15" t="s">
        <v>41</v>
      </c>
      <c r="AF11" s="15" t="s">
        <v>41</v>
      </c>
      <c r="AG11" s="15" t="s">
        <v>41</v>
      </c>
      <c r="AH11" s="15" t="s">
        <v>41</v>
      </c>
      <c r="AI11" s="15" t="s">
        <v>41</v>
      </c>
      <c r="AJ11" s="15" t="s">
        <v>41</v>
      </c>
      <c r="AK11" s="15" t="str">
        <f t="shared" si="4"/>
        <v>WO</v>
      </c>
      <c r="AL11" s="15" t="s">
        <v>41</v>
      </c>
      <c r="AM11" s="16"/>
      <c r="AN11" s="41"/>
      <c r="AO11" s="41"/>
      <c r="AP11" s="30"/>
      <c r="AQ11" s="9">
        <v>5</v>
      </c>
      <c r="AR11" s="9" t="s">
        <v>7</v>
      </c>
      <c r="AS11" s="9" t="str">
        <f t="shared" si="5"/>
        <v>June</v>
      </c>
      <c r="AT11" s="10">
        <v>10005</v>
      </c>
      <c r="AU11" s="15">
        <f t="shared" si="6"/>
        <v>25</v>
      </c>
      <c r="AV11" s="15">
        <f t="shared" si="7"/>
        <v>0</v>
      </c>
      <c r="AW11" s="15">
        <f t="shared" si="8"/>
        <v>0</v>
      </c>
      <c r="AX11" s="15">
        <f t="shared" si="9"/>
        <v>5</v>
      </c>
      <c r="AY11" s="25">
        <f t="shared" si="10"/>
        <v>30</v>
      </c>
      <c r="AZ11" s="25">
        <f>JanReport18[[#This Row],[Days]]-JanReport18[[#This Row],[Abesent]]</f>
        <v>30</v>
      </c>
      <c r="BA11" s="26">
        <v>18000</v>
      </c>
      <c r="BB11" s="27">
        <f>JanReport18[[#This Row],[Salary]]/JanReport18[[#This Row],[Days]]</f>
        <v>600</v>
      </c>
      <c r="BC11" s="27">
        <f>JanReport18[[#This Row],[PerDaySalary]]*JanReport18[[#This Row],[Abesent]]</f>
        <v>0</v>
      </c>
      <c r="BD11" s="27">
        <f>JanReport18[[#This Row],[Salary]]-JanReport18[[#This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5</v>
      </c>
      <c r="I12" s="15" t="str">
        <f t="shared" si="3"/>
        <v>WO</v>
      </c>
      <c r="J12" s="15" t="s">
        <v>41</v>
      </c>
      <c r="K12" s="15" t="s">
        <v>41</v>
      </c>
      <c r="L12" s="15" t="s">
        <v>41</v>
      </c>
      <c r="M12" s="15" t="s">
        <v>41</v>
      </c>
      <c r="N12" s="15" t="s">
        <v>41</v>
      </c>
      <c r="O12" s="15" t="s">
        <v>41</v>
      </c>
      <c r="P12" s="15" t="str">
        <f t="shared" si="3"/>
        <v>WO</v>
      </c>
      <c r="Q12" s="15" t="s">
        <v>41</v>
      </c>
      <c r="R12" s="15" t="s">
        <v>41</v>
      </c>
      <c r="S12" s="15" t="s">
        <v>41</v>
      </c>
      <c r="T12" s="15" t="s">
        <v>41</v>
      </c>
      <c r="U12" s="15" t="s">
        <v>41</v>
      </c>
      <c r="V12" s="15" t="s">
        <v>41</v>
      </c>
      <c r="W12" s="15" t="str">
        <f t="shared" si="3"/>
        <v>WO</v>
      </c>
      <c r="X12" s="15" t="s">
        <v>41</v>
      </c>
      <c r="Y12" s="15" t="s">
        <v>41</v>
      </c>
      <c r="Z12" s="15" t="s">
        <v>41</v>
      </c>
      <c r="AA12" s="15" t="s">
        <v>41</v>
      </c>
      <c r="AB12" s="15" t="s">
        <v>41</v>
      </c>
      <c r="AC12" s="15" t="s">
        <v>41</v>
      </c>
      <c r="AD12" s="15" t="str">
        <f t="shared" si="4"/>
        <v>WO</v>
      </c>
      <c r="AE12" s="15" t="s">
        <v>41</v>
      </c>
      <c r="AF12" s="15" t="s">
        <v>41</v>
      </c>
      <c r="AG12" s="15" t="s">
        <v>41</v>
      </c>
      <c r="AH12" s="15" t="s">
        <v>41</v>
      </c>
      <c r="AI12" s="15" t="s">
        <v>41</v>
      </c>
      <c r="AJ12" s="15" t="s">
        <v>41</v>
      </c>
      <c r="AK12" s="15" t="str">
        <f t="shared" si="4"/>
        <v>WO</v>
      </c>
      <c r="AL12" s="15" t="s">
        <v>41</v>
      </c>
      <c r="AM12" s="16"/>
      <c r="AN12" s="41"/>
      <c r="AO12" s="41"/>
      <c r="AP12" s="30"/>
      <c r="AQ12" s="9">
        <v>6</v>
      </c>
      <c r="AR12" s="9" t="s">
        <v>8</v>
      </c>
      <c r="AS12" s="9" t="str">
        <f t="shared" si="5"/>
        <v>June</v>
      </c>
      <c r="AT12" s="10">
        <v>10006</v>
      </c>
      <c r="AU12" s="15">
        <f t="shared" si="6"/>
        <v>25</v>
      </c>
      <c r="AV12" s="15">
        <f t="shared" si="7"/>
        <v>0</v>
      </c>
      <c r="AW12" s="15">
        <f t="shared" si="8"/>
        <v>0</v>
      </c>
      <c r="AX12" s="15">
        <f t="shared" si="9"/>
        <v>5</v>
      </c>
      <c r="AY12" s="25">
        <f t="shared" si="10"/>
        <v>30</v>
      </c>
      <c r="AZ12" s="25">
        <f>JanReport18[[#This Row],[Days]]-JanReport18[[#This Row],[Abesent]]</f>
        <v>30</v>
      </c>
      <c r="BA12" s="26">
        <v>17000</v>
      </c>
      <c r="BB12" s="27">
        <f>JanReport18[[#This Row],[Salary]]/JanReport18[[#This Row],[Days]]</f>
        <v>566.66666666666663</v>
      </c>
      <c r="BC12" s="27">
        <f>JanReport18[[#This Row],[PerDaySalary]]*JanReport18[[#This Row],[Abesent]]</f>
        <v>0</v>
      </c>
      <c r="BD12" s="27">
        <f>JanReport18[[#This Row],[Salary]]-JanReport18[[#This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5</v>
      </c>
      <c r="I13" s="15" t="str">
        <f t="shared" si="3"/>
        <v>WO</v>
      </c>
      <c r="J13" s="15" t="s">
        <v>41</v>
      </c>
      <c r="K13" s="15" t="s">
        <v>41</v>
      </c>
      <c r="L13" s="15" t="s">
        <v>42</v>
      </c>
      <c r="M13" s="15" t="s">
        <v>41</v>
      </c>
      <c r="N13" s="15" t="s">
        <v>41</v>
      </c>
      <c r="O13" s="15" t="s">
        <v>41</v>
      </c>
      <c r="P13" s="15" t="str">
        <f t="shared" si="3"/>
        <v>WO</v>
      </c>
      <c r="Q13" s="15" t="s">
        <v>41</v>
      </c>
      <c r="R13" s="15" t="s">
        <v>41</v>
      </c>
      <c r="S13" s="15" t="s">
        <v>42</v>
      </c>
      <c r="T13" s="15" t="s">
        <v>41</v>
      </c>
      <c r="U13" s="15" t="s">
        <v>41</v>
      </c>
      <c r="V13" s="15" t="s">
        <v>41</v>
      </c>
      <c r="W13" s="15" t="str">
        <f t="shared" si="3"/>
        <v>WO</v>
      </c>
      <c r="X13" s="15" t="s">
        <v>41</v>
      </c>
      <c r="Y13" s="15" t="s">
        <v>41</v>
      </c>
      <c r="Z13" s="15" t="s">
        <v>42</v>
      </c>
      <c r="AA13" s="15" t="s">
        <v>41</v>
      </c>
      <c r="AB13" s="15" t="s">
        <v>41</v>
      </c>
      <c r="AC13" s="15" t="s">
        <v>41</v>
      </c>
      <c r="AD13" s="15" t="str">
        <f t="shared" si="4"/>
        <v>WO</v>
      </c>
      <c r="AE13" s="15" t="s">
        <v>41</v>
      </c>
      <c r="AF13" s="15" t="s">
        <v>41</v>
      </c>
      <c r="AG13" s="15" t="s">
        <v>42</v>
      </c>
      <c r="AH13" s="15" t="s">
        <v>41</v>
      </c>
      <c r="AI13" s="15" t="s">
        <v>41</v>
      </c>
      <c r="AJ13" s="15" t="s">
        <v>41</v>
      </c>
      <c r="AK13" s="15" t="str">
        <f t="shared" si="4"/>
        <v>WO</v>
      </c>
      <c r="AL13" s="15" t="s">
        <v>42</v>
      </c>
      <c r="AM13" s="16"/>
      <c r="AN13" s="41"/>
      <c r="AO13" s="41"/>
      <c r="AP13" s="30"/>
      <c r="AQ13" s="9">
        <v>7</v>
      </c>
      <c r="AR13" s="9" t="s">
        <v>9</v>
      </c>
      <c r="AS13" s="9" t="str">
        <f t="shared" si="5"/>
        <v>June</v>
      </c>
      <c r="AT13" s="10">
        <v>10007</v>
      </c>
      <c r="AU13" s="15">
        <f t="shared" si="6"/>
        <v>20</v>
      </c>
      <c r="AV13" s="15">
        <f t="shared" si="7"/>
        <v>5</v>
      </c>
      <c r="AW13" s="15">
        <f t="shared" si="8"/>
        <v>0</v>
      </c>
      <c r="AX13" s="15">
        <f t="shared" si="9"/>
        <v>5</v>
      </c>
      <c r="AY13" s="25">
        <f t="shared" si="10"/>
        <v>30</v>
      </c>
      <c r="AZ13" s="25">
        <f>JanReport18[[#This Row],[Days]]-JanReport18[[#This Row],[Abesent]]</f>
        <v>25</v>
      </c>
      <c r="BA13" s="26">
        <v>15000</v>
      </c>
      <c r="BB13" s="27">
        <f>JanReport18[[#This Row],[Salary]]/JanReport18[[#This Row],[Days]]</f>
        <v>500</v>
      </c>
      <c r="BC13" s="27">
        <f>JanReport18[[#This Row],[PerDaySalary]]*JanReport18[[#This Row],[Abesent]]</f>
        <v>2500</v>
      </c>
      <c r="BD13" s="27">
        <f>JanReport18[[#This Row],[Salary]]-JanReport18[[#This Row],[Deduction]]</f>
        <v>12500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5</v>
      </c>
      <c r="I14" s="15" t="str">
        <f t="shared" si="3"/>
        <v>WO</v>
      </c>
      <c r="J14" s="15" t="s">
        <v>41</v>
      </c>
      <c r="K14" s="15" t="s">
        <v>41</v>
      </c>
      <c r="L14" s="15" t="s">
        <v>41</v>
      </c>
      <c r="M14" s="15" t="s">
        <v>41</v>
      </c>
      <c r="N14" s="15" t="s">
        <v>41</v>
      </c>
      <c r="O14" s="15" t="s">
        <v>41</v>
      </c>
      <c r="P14" s="15" t="str">
        <f t="shared" si="3"/>
        <v>WO</v>
      </c>
      <c r="Q14" s="15" t="s">
        <v>41</v>
      </c>
      <c r="R14" s="15" t="s">
        <v>41</v>
      </c>
      <c r="S14" s="15" t="s">
        <v>41</v>
      </c>
      <c r="T14" s="15" t="s">
        <v>41</v>
      </c>
      <c r="U14" s="15" t="s">
        <v>41</v>
      </c>
      <c r="V14" s="15" t="s">
        <v>41</v>
      </c>
      <c r="W14" s="15" t="str">
        <f t="shared" si="3"/>
        <v>WO</v>
      </c>
      <c r="X14" s="15" t="s">
        <v>41</v>
      </c>
      <c r="Y14" s="15" t="s">
        <v>41</v>
      </c>
      <c r="Z14" s="15" t="s">
        <v>41</v>
      </c>
      <c r="AA14" s="15" t="s">
        <v>41</v>
      </c>
      <c r="AB14" s="15" t="s">
        <v>41</v>
      </c>
      <c r="AC14" s="15" t="s">
        <v>41</v>
      </c>
      <c r="AD14" s="15" t="str">
        <f t="shared" si="4"/>
        <v>WO</v>
      </c>
      <c r="AE14" s="15" t="s">
        <v>41</v>
      </c>
      <c r="AF14" s="15" t="s">
        <v>41</v>
      </c>
      <c r="AG14" s="15" t="s">
        <v>41</v>
      </c>
      <c r="AH14" s="15" t="s">
        <v>41</v>
      </c>
      <c r="AI14" s="15" t="s">
        <v>41</v>
      </c>
      <c r="AJ14" s="15" t="s">
        <v>41</v>
      </c>
      <c r="AK14" s="15" t="str">
        <f t="shared" si="4"/>
        <v>WO</v>
      </c>
      <c r="AL14" s="15" t="s">
        <v>41</v>
      </c>
      <c r="AM14" s="16"/>
      <c r="AN14" s="41"/>
      <c r="AO14" s="41"/>
      <c r="AP14" s="30"/>
      <c r="AQ14" s="9">
        <v>8</v>
      </c>
      <c r="AR14" s="9" t="s">
        <v>10</v>
      </c>
      <c r="AS14" s="9" t="str">
        <f t="shared" si="5"/>
        <v>June</v>
      </c>
      <c r="AT14" s="10">
        <v>10008</v>
      </c>
      <c r="AU14" s="15">
        <f t="shared" si="6"/>
        <v>25</v>
      </c>
      <c r="AV14" s="15">
        <f t="shared" si="7"/>
        <v>0</v>
      </c>
      <c r="AW14" s="15">
        <f t="shared" si="8"/>
        <v>0</v>
      </c>
      <c r="AX14" s="15">
        <f t="shared" si="9"/>
        <v>5</v>
      </c>
      <c r="AY14" s="25">
        <f t="shared" si="10"/>
        <v>30</v>
      </c>
      <c r="AZ14" s="25">
        <f>JanReport18[[#This Row],[Days]]-JanReport18[[#This Row],[Abesent]]</f>
        <v>30</v>
      </c>
      <c r="BA14" s="26">
        <v>21000</v>
      </c>
      <c r="BB14" s="27">
        <f>JanReport18[[#This Row],[Salary]]/JanReport18[[#This Row],[Days]]</f>
        <v>700</v>
      </c>
      <c r="BC14" s="27">
        <f>JanReport18[[#This Row],[PerDaySalary]]*JanReport18[[#This Row],[Abesent]]</f>
        <v>0</v>
      </c>
      <c r="BD14" s="27">
        <f>JanReport18[[#This Row],[Salary]]-JanReport18[[#This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5</v>
      </c>
      <c r="I15" s="15" t="str">
        <f t="shared" si="3"/>
        <v>WO</v>
      </c>
      <c r="J15" s="15" t="s">
        <v>41</v>
      </c>
      <c r="K15" s="15" t="s">
        <v>41</v>
      </c>
      <c r="L15" s="15" t="s">
        <v>41</v>
      </c>
      <c r="M15" s="15" t="s">
        <v>41</v>
      </c>
      <c r="N15" s="15" t="s">
        <v>41</v>
      </c>
      <c r="O15" s="15" t="s">
        <v>41</v>
      </c>
      <c r="P15" s="15" t="str">
        <f t="shared" si="3"/>
        <v>WO</v>
      </c>
      <c r="Q15" s="15" t="s">
        <v>41</v>
      </c>
      <c r="R15" s="15" t="s">
        <v>41</v>
      </c>
      <c r="S15" s="15" t="s">
        <v>41</v>
      </c>
      <c r="T15" s="15" t="s">
        <v>41</v>
      </c>
      <c r="U15" s="15" t="s">
        <v>41</v>
      </c>
      <c r="V15" s="15" t="s">
        <v>41</v>
      </c>
      <c r="W15" s="15" t="str">
        <f t="shared" si="3"/>
        <v>WO</v>
      </c>
      <c r="X15" s="15" t="s">
        <v>41</v>
      </c>
      <c r="Y15" s="15" t="s">
        <v>41</v>
      </c>
      <c r="Z15" s="15" t="s">
        <v>41</v>
      </c>
      <c r="AA15" s="15" t="s">
        <v>41</v>
      </c>
      <c r="AB15" s="15" t="s">
        <v>41</v>
      </c>
      <c r="AC15" s="15" t="s">
        <v>41</v>
      </c>
      <c r="AD15" s="15" t="str">
        <f t="shared" si="4"/>
        <v>WO</v>
      </c>
      <c r="AE15" s="15" t="s">
        <v>41</v>
      </c>
      <c r="AF15" s="15" t="s">
        <v>41</v>
      </c>
      <c r="AG15" s="15" t="s">
        <v>41</v>
      </c>
      <c r="AH15" s="15" t="s">
        <v>41</v>
      </c>
      <c r="AI15" s="15" t="s">
        <v>41</v>
      </c>
      <c r="AJ15" s="15" t="s">
        <v>41</v>
      </c>
      <c r="AK15" s="15" t="str">
        <f t="shared" si="4"/>
        <v>WO</v>
      </c>
      <c r="AL15" s="15" t="s">
        <v>41</v>
      </c>
      <c r="AM15" s="16"/>
      <c r="AN15" s="41"/>
      <c r="AO15" s="41"/>
      <c r="AP15" s="30"/>
      <c r="AQ15" s="9">
        <v>9</v>
      </c>
      <c r="AR15" s="9" t="s">
        <v>11</v>
      </c>
      <c r="AS15" s="9" t="str">
        <f t="shared" si="5"/>
        <v>June</v>
      </c>
      <c r="AT15" s="10">
        <v>10009</v>
      </c>
      <c r="AU15" s="15">
        <f t="shared" si="6"/>
        <v>25</v>
      </c>
      <c r="AV15" s="15">
        <f t="shared" si="7"/>
        <v>0</v>
      </c>
      <c r="AW15" s="15">
        <f t="shared" si="8"/>
        <v>0</v>
      </c>
      <c r="AX15" s="15">
        <f t="shared" si="9"/>
        <v>5</v>
      </c>
      <c r="AY15" s="25">
        <f t="shared" si="10"/>
        <v>30</v>
      </c>
      <c r="AZ15" s="25">
        <f>JanReport18[[#This Row],[Days]]-JanReport18[[#This Row],[Abesent]]</f>
        <v>30</v>
      </c>
      <c r="BA15" s="26">
        <v>22000</v>
      </c>
      <c r="BB15" s="27">
        <f>JanReport18[[#This Row],[Salary]]/JanReport18[[#This Row],[Days]]</f>
        <v>733.33333333333337</v>
      </c>
      <c r="BC15" s="27">
        <f>JanReport18[[#This Row],[PerDaySalary]]*JanReport18[[#This Row],[Abesent]]</f>
        <v>0</v>
      </c>
      <c r="BD15" s="27">
        <f>JanReport18[[#This Row],[Salary]]-JanReport18[[#This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5</v>
      </c>
      <c r="I16" s="15" t="str">
        <f t="shared" si="3"/>
        <v>WO</v>
      </c>
      <c r="J16" s="15" t="s">
        <v>41</v>
      </c>
      <c r="K16" s="15" t="s">
        <v>41</v>
      </c>
      <c r="L16" s="15" t="s">
        <v>41</v>
      </c>
      <c r="M16" s="15" t="s">
        <v>41</v>
      </c>
      <c r="N16" s="15" t="s">
        <v>41</v>
      </c>
      <c r="O16" s="15" t="s">
        <v>41</v>
      </c>
      <c r="P16" s="15" t="str">
        <f t="shared" si="3"/>
        <v>WO</v>
      </c>
      <c r="Q16" s="15" t="s">
        <v>41</v>
      </c>
      <c r="R16" s="15" t="s">
        <v>41</v>
      </c>
      <c r="S16" s="15" t="s">
        <v>41</v>
      </c>
      <c r="T16" s="15" t="s">
        <v>41</v>
      </c>
      <c r="U16" s="15" t="s">
        <v>41</v>
      </c>
      <c r="V16" s="15" t="s">
        <v>41</v>
      </c>
      <c r="W16" s="15" t="str">
        <f t="shared" si="3"/>
        <v>WO</v>
      </c>
      <c r="X16" s="15" t="s">
        <v>41</v>
      </c>
      <c r="Y16" s="15" t="s">
        <v>41</v>
      </c>
      <c r="Z16" s="15" t="s">
        <v>41</v>
      </c>
      <c r="AA16" s="15" t="s">
        <v>41</v>
      </c>
      <c r="AB16" s="15" t="s">
        <v>41</v>
      </c>
      <c r="AC16" s="15" t="s">
        <v>41</v>
      </c>
      <c r="AD16" s="15" t="str">
        <f t="shared" si="4"/>
        <v>WO</v>
      </c>
      <c r="AE16" s="15" t="s">
        <v>41</v>
      </c>
      <c r="AF16" s="15" t="s">
        <v>41</v>
      </c>
      <c r="AG16" s="15" t="s">
        <v>41</v>
      </c>
      <c r="AH16" s="15" t="s">
        <v>41</v>
      </c>
      <c r="AI16" s="15" t="s">
        <v>41</v>
      </c>
      <c r="AJ16" s="15" t="s">
        <v>41</v>
      </c>
      <c r="AK16" s="15" t="str">
        <f t="shared" si="4"/>
        <v>WO</v>
      </c>
      <c r="AL16" s="15" t="s">
        <v>41</v>
      </c>
      <c r="AM16" s="16"/>
      <c r="AN16" s="41"/>
      <c r="AO16" s="41"/>
      <c r="AP16" s="30"/>
      <c r="AQ16" s="9">
        <v>10</v>
      </c>
      <c r="AR16" s="9" t="s">
        <v>12</v>
      </c>
      <c r="AS16" s="9" t="str">
        <f t="shared" si="5"/>
        <v>June</v>
      </c>
      <c r="AT16" s="10">
        <v>10010</v>
      </c>
      <c r="AU16" s="15">
        <f t="shared" si="6"/>
        <v>25</v>
      </c>
      <c r="AV16" s="15">
        <f t="shared" si="7"/>
        <v>0</v>
      </c>
      <c r="AW16" s="15">
        <f t="shared" si="8"/>
        <v>0</v>
      </c>
      <c r="AX16" s="15">
        <f t="shared" si="9"/>
        <v>5</v>
      </c>
      <c r="AY16" s="25">
        <f t="shared" si="10"/>
        <v>30</v>
      </c>
      <c r="AZ16" s="25">
        <f>JanReport18[[#This Row],[Days]]-JanReport18[[#This Row],[Abesent]]</f>
        <v>30</v>
      </c>
      <c r="BA16" s="26">
        <v>25000</v>
      </c>
      <c r="BB16" s="27">
        <f>JanReport18[[#This Row],[Salary]]/JanReport18[[#This Row],[Days]]</f>
        <v>833.33333333333337</v>
      </c>
      <c r="BC16" s="27">
        <f>JanReport18[[#This Row],[PerDaySalary]]*JanReport18[[#This Row],[Abesent]]</f>
        <v>0</v>
      </c>
      <c r="BD16" s="27">
        <f>JanReport18[[#This Row],[Salary]]-JanReport18[[#This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5</v>
      </c>
      <c r="I17" s="15" t="str">
        <f t="shared" si="3"/>
        <v>WO</v>
      </c>
      <c r="J17" s="15" t="s">
        <v>41</v>
      </c>
      <c r="K17" s="15" t="s">
        <v>41</v>
      </c>
      <c r="L17" s="15" t="s">
        <v>41</v>
      </c>
      <c r="M17" s="15" t="s">
        <v>41</v>
      </c>
      <c r="N17" s="15" t="s">
        <v>41</v>
      </c>
      <c r="O17" s="15" t="s">
        <v>42</v>
      </c>
      <c r="P17" s="15" t="str">
        <f t="shared" si="3"/>
        <v>WO</v>
      </c>
      <c r="Q17" s="15" t="s">
        <v>41</v>
      </c>
      <c r="R17" s="15" t="s">
        <v>41</v>
      </c>
      <c r="S17" s="15" t="s">
        <v>41</v>
      </c>
      <c r="T17" s="15" t="s">
        <v>41</v>
      </c>
      <c r="U17" s="15" t="s">
        <v>41</v>
      </c>
      <c r="V17" s="15" t="s">
        <v>42</v>
      </c>
      <c r="W17" s="15" t="str">
        <f t="shared" si="3"/>
        <v>WO</v>
      </c>
      <c r="X17" s="15" t="s">
        <v>41</v>
      </c>
      <c r="Y17" s="15" t="s">
        <v>41</v>
      </c>
      <c r="Z17" s="15" t="s">
        <v>41</v>
      </c>
      <c r="AA17" s="15" t="s">
        <v>41</v>
      </c>
      <c r="AB17" s="15" t="s">
        <v>41</v>
      </c>
      <c r="AC17" s="15" t="s">
        <v>42</v>
      </c>
      <c r="AD17" s="15" t="str">
        <f t="shared" si="4"/>
        <v>WO</v>
      </c>
      <c r="AE17" s="15" t="s">
        <v>41</v>
      </c>
      <c r="AF17" s="15" t="s">
        <v>41</v>
      </c>
      <c r="AG17" s="15" t="s">
        <v>41</v>
      </c>
      <c r="AH17" s="15" t="s">
        <v>41</v>
      </c>
      <c r="AI17" s="15" t="s">
        <v>41</v>
      </c>
      <c r="AJ17" s="15" t="s">
        <v>42</v>
      </c>
      <c r="AK17" s="15" t="str">
        <f t="shared" si="4"/>
        <v>WO</v>
      </c>
      <c r="AL17" s="15" t="s">
        <v>41</v>
      </c>
      <c r="AM17" s="16"/>
      <c r="AN17" s="41"/>
      <c r="AO17" s="41"/>
      <c r="AP17" s="30"/>
      <c r="AQ17" s="9">
        <v>11</v>
      </c>
      <c r="AR17" s="9" t="s">
        <v>13</v>
      </c>
      <c r="AS17" s="9" t="str">
        <f t="shared" si="5"/>
        <v>June</v>
      </c>
      <c r="AT17" s="10">
        <v>10011</v>
      </c>
      <c r="AU17" s="15">
        <f t="shared" si="6"/>
        <v>21</v>
      </c>
      <c r="AV17" s="15">
        <f t="shared" si="7"/>
        <v>4</v>
      </c>
      <c r="AW17" s="15">
        <f t="shared" si="8"/>
        <v>0</v>
      </c>
      <c r="AX17" s="15">
        <f t="shared" si="9"/>
        <v>5</v>
      </c>
      <c r="AY17" s="25">
        <f t="shared" si="10"/>
        <v>30</v>
      </c>
      <c r="AZ17" s="25">
        <f>JanReport18[[#This Row],[Days]]-JanReport18[[#This Row],[Abesent]]</f>
        <v>26</v>
      </c>
      <c r="BA17" s="26">
        <v>15000</v>
      </c>
      <c r="BB17" s="27">
        <f>JanReport18[[#This Row],[Salary]]/JanReport18[[#This Row],[Days]]</f>
        <v>500</v>
      </c>
      <c r="BC17" s="27">
        <f>JanReport18[[#This Row],[PerDaySalary]]*JanReport18[[#This Row],[Abesent]]</f>
        <v>2000</v>
      </c>
      <c r="BD17" s="27">
        <f>JanReport18[[#This Row],[Salary]]-JanReport18[[#This Row],[Deduction]]</f>
        <v>13000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5</v>
      </c>
      <c r="I18" s="15" t="str">
        <f t="shared" si="3"/>
        <v>WO</v>
      </c>
      <c r="J18" s="15" t="s">
        <v>41</v>
      </c>
      <c r="K18" s="15" t="s">
        <v>41</v>
      </c>
      <c r="L18" s="15" t="s">
        <v>41</v>
      </c>
      <c r="M18" s="15" t="s">
        <v>41</v>
      </c>
      <c r="N18" s="15" t="s">
        <v>41</v>
      </c>
      <c r="O18" s="15" t="s">
        <v>41</v>
      </c>
      <c r="P18" s="15" t="str">
        <f t="shared" si="3"/>
        <v>WO</v>
      </c>
      <c r="Q18" s="15" t="s">
        <v>41</v>
      </c>
      <c r="R18" s="15" t="s">
        <v>41</v>
      </c>
      <c r="S18" s="15" t="s">
        <v>41</v>
      </c>
      <c r="T18" s="15" t="s">
        <v>41</v>
      </c>
      <c r="U18" s="15" t="s">
        <v>41</v>
      </c>
      <c r="V18" s="15" t="s">
        <v>41</v>
      </c>
      <c r="W18" s="15" t="str">
        <f t="shared" si="3"/>
        <v>WO</v>
      </c>
      <c r="X18" s="15" t="s">
        <v>41</v>
      </c>
      <c r="Y18" s="15" t="s">
        <v>41</v>
      </c>
      <c r="Z18" s="15" t="s">
        <v>41</v>
      </c>
      <c r="AA18" s="15" t="s">
        <v>41</v>
      </c>
      <c r="AB18" s="15" t="s">
        <v>41</v>
      </c>
      <c r="AC18" s="15" t="s">
        <v>41</v>
      </c>
      <c r="AD18" s="15" t="str">
        <f t="shared" si="4"/>
        <v>WO</v>
      </c>
      <c r="AE18" s="15" t="s">
        <v>41</v>
      </c>
      <c r="AF18" s="15" t="s">
        <v>41</v>
      </c>
      <c r="AG18" s="15" t="s">
        <v>41</v>
      </c>
      <c r="AH18" s="15" t="s">
        <v>41</v>
      </c>
      <c r="AI18" s="15" t="s">
        <v>41</v>
      </c>
      <c r="AJ18" s="15" t="s">
        <v>41</v>
      </c>
      <c r="AK18" s="15" t="str">
        <f t="shared" si="4"/>
        <v>WO</v>
      </c>
      <c r="AL18" s="15" t="s">
        <v>41</v>
      </c>
      <c r="AM18" s="16"/>
      <c r="AN18" s="41"/>
      <c r="AO18" s="41"/>
      <c r="AP18" s="30"/>
      <c r="AQ18" s="9">
        <v>12</v>
      </c>
      <c r="AR18" s="9" t="s">
        <v>14</v>
      </c>
      <c r="AS18" s="9" t="str">
        <f t="shared" si="5"/>
        <v>June</v>
      </c>
      <c r="AT18" s="10">
        <v>10012</v>
      </c>
      <c r="AU18" s="15">
        <f t="shared" si="6"/>
        <v>25</v>
      </c>
      <c r="AV18" s="15">
        <f t="shared" si="7"/>
        <v>0</v>
      </c>
      <c r="AW18" s="15">
        <f t="shared" si="8"/>
        <v>0</v>
      </c>
      <c r="AX18" s="15">
        <f t="shared" si="9"/>
        <v>5</v>
      </c>
      <c r="AY18" s="25">
        <f t="shared" si="10"/>
        <v>30</v>
      </c>
      <c r="AZ18" s="25">
        <f>JanReport18[[#This Row],[Days]]-JanReport18[[#This Row],[Abesent]]</f>
        <v>30</v>
      </c>
      <c r="BA18" s="26">
        <v>19000</v>
      </c>
      <c r="BB18" s="27">
        <f>JanReport18[[#This Row],[Salary]]/JanReport18[[#This Row],[Days]]</f>
        <v>633.33333333333337</v>
      </c>
      <c r="BC18" s="27">
        <f>JanReport18[[#This Row],[PerDaySalary]]*JanReport18[[#This Row],[Abesent]]</f>
        <v>0</v>
      </c>
      <c r="BD18" s="27">
        <f>JanReport18[[#This Row],[Salary]]-JanReport18[[#This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5</v>
      </c>
      <c r="I19" s="15" t="str">
        <f t="shared" si="3"/>
        <v>WO</v>
      </c>
      <c r="J19" s="15" t="s">
        <v>41</v>
      </c>
      <c r="K19" s="15" t="s">
        <v>41</v>
      </c>
      <c r="L19" s="15" t="s">
        <v>41</v>
      </c>
      <c r="M19" s="15" t="s">
        <v>41</v>
      </c>
      <c r="N19" s="15" t="s">
        <v>41</v>
      </c>
      <c r="O19" s="15" t="s">
        <v>41</v>
      </c>
      <c r="P19" s="15" t="str">
        <f t="shared" si="3"/>
        <v>WO</v>
      </c>
      <c r="Q19" s="15" t="s">
        <v>41</v>
      </c>
      <c r="R19" s="15" t="s">
        <v>41</v>
      </c>
      <c r="S19" s="15" t="s">
        <v>41</v>
      </c>
      <c r="T19" s="15" t="s">
        <v>41</v>
      </c>
      <c r="U19" s="15" t="s">
        <v>41</v>
      </c>
      <c r="V19" s="15" t="s">
        <v>41</v>
      </c>
      <c r="W19" s="15" t="str">
        <f t="shared" si="3"/>
        <v>WO</v>
      </c>
      <c r="X19" s="15" t="s">
        <v>41</v>
      </c>
      <c r="Y19" s="15" t="s">
        <v>41</v>
      </c>
      <c r="Z19" s="15" t="s">
        <v>41</v>
      </c>
      <c r="AA19" s="15" t="s">
        <v>41</v>
      </c>
      <c r="AB19" s="15" t="s">
        <v>41</v>
      </c>
      <c r="AC19" s="15" t="s">
        <v>41</v>
      </c>
      <c r="AD19" s="15" t="str">
        <f t="shared" si="4"/>
        <v>WO</v>
      </c>
      <c r="AE19" s="15" t="s">
        <v>41</v>
      </c>
      <c r="AF19" s="15" t="s">
        <v>41</v>
      </c>
      <c r="AG19" s="15" t="s">
        <v>41</v>
      </c>
      <c r="AH19" s="15" t="s">
        <v>41</v>
      </c>
      <c r="AI19" s="15" t="s">
        <v>41</v>
      </c>
      <c r="AJ19" s="15" t="s">
        <v>41</v>
      </c>
      <c r="AK19" s="15" t="str">
        <f t="shared" si="4"/>
        <v>WO</v>
      </c>
      <c r="AL19" s="15" t="s">
        <v>41</v>
      </c>
      <c r="AM19" s="16"/>
      <c r="AN19" s="41"/>
      <c r="AO19" s="41"/>
      <c r="AP19" s="30"/>
      <c r="AQ19" s="9">
        <v>13</v>
      </c>
      <c r="AR19" s="9" t="s">
        <v>15</v>
      </c>
      <c r="AS19" s="9" t="str">
        <f t="shared" si="5"/>
        <v>June</v>
      </c>
      <c r="AT19" s="10">
        <v>10013</v>
      </c>
      <c r="AU19" s="15">
        <f t="shared" si="6"/>
        <v>25</v>
      </c>
      <c r="AV19" s="15">
        <f t="shared" si="7"/>
        <v>0</v>
      </c>
      <c r="AW19" s="15">
        <f t="shared" si="8"/>
        <v>0</v>
      </c>
      <c r="AX19" s="15">
        <f t="shared" si="9"/>
        <v>5</v>
      </c>
      <c r="AY19" s="25">
        <f t="shared" si="10"/>
        <v>30</v>
      </c>
      <c r="AZ19" s="25">
        <f>JanReport18[[#This Row],[Days]]-JanReport18[[#This Row],[Abesent]]</f>
        <v>30</v>
      </c>
      <c r="BA19" s="26">
        <v>20000</v>
      </c>
      <c r="BB19" s="27">
        <f>JanReport18[[#This Row],[Salary]]/JanReport18[[#This Row],[Days]]</f>
        <v>666.66666666666663</v>
      </c>
      <c r="BC19" s="27">
        <f>JanReport18[[#This Row],[PerDaySalary]]*JanReport18[[#This Row],[Abesent]]</f>
        <v>0</v>
      </c>
      <c r="BD19" s="27">
        <f>JanReport18[[#This Row],[Salary]]-JanReport18[[#This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5</v>
      </c>
      <c r="I20" s="15" t="str">
        <f t="shared" si="3"/>
        <v>WO</v>
      </c>
      <c r="J20" s="15" t="s">
        <v>41</v>
      </c>
      <c r="K20" s="15" t="s">
        <v>41</v>
      </c>
      <c r="L20" s="15" t="s">
        <v>41</v>
      </c>
      <c r="M20" s="15" t="s">
        <v>41</v>
      </c>
      <c r="N20" s="15" t="s">
        <v>41</v>
      </c>
      <c r="O20" s="15" t="s">
        <v>41</v>
      </c>
      <c r="P20" s="15" t="str">
        <f t="shared" si="3"/>
        <v>WO</v>
      </c>
      <c r="Q20" s="15" t="s">
        <v>41</v>
      </c>
      <c r="R20" s="15" t="s">
        <v>41</v>
      </c>
      <c r="S20" s="15" t="s">
        <v>41</v>
      </c>
      <c r="T20" s="15" t="s">
        <v>41</v>
      </c>
      <c r="U20" s="15" t="s">
        <v>41</v>
      </c>
      <c r="V20" s="15" t="s">
        <v>41</v>
      </c>
      <c r="W20" s="15" t="str">
        <f t="shared" si="3"/>
        <v>WO</v>
      </c>
      <c r="X20" s="15" t="s">
        <v>41</v>
      </c>
      <c r="Y20" s="15" t="s">
        <v>41</v>
      </c>
      <c r="Z20" s="15" t="s">
        <v>41</v>
      </c>
      <c r="AA20" s="15" t="s">
        <v>41</v>
      </c>
      <c r="AB20" s="15" t="s">
        <v>41</v>
      </c>
      <c r="AC20" s="15" t="s">
        <v>41</v>
      </c>
      <c r="AD20" s="15" t="str">
        <f t="shared" si="4"/>
        <v>WO</v>
      </c>
      <c r="AE20" s="15" t="s">
        <v>41</v>
      </c>
      <c r="AF20" s="15" t="s">
        <v>41</v>
      </c>
      <c r="AG20" s="15" t="s">
        <v>41</v>
      </c>
      <c r="AH20" s="15" t="s">
        <v>41</v>
      </c>
      <c r="AI20" s="15" t="s">
        <v>41</v>
      </c>
      <c r="AJ20" s="15" t="s">
        <v>41</v>
      </c>
      <c r="AK20" s="15" t="str">
        <f t="shared" si="4"/>
        <v>WO</v>
      </c>
      <c r="AL20" s="15" t="s">
        <v>41</v>
      </c>
      <c r="AM20" s="16"/>
      <c r="AN20" s="41"/>
      <c r="AO20" s="41"/>
      <c r="AP20" s="30"/>
      <c r="AQ20" s="9">
        <v>14</v>
      </c>
      <c r="AR20" s="9" t="s">
        <v>16</v>
      </c>
      <c r="AS20" s="9" t="str">
        <f t="shared" si="5"/>
        <v>June</v>
      </c>
      <c r="AT20" s="10">
        <v>10014</v>
      </c>
      <c r="AU20" s="15">
        <f t="shared" si="6"/>
        <v>25</v>
      </c>
      <c r="AV20" s="15">
        <f t="shared" si="7"/>
        <v>0</v>
      </c>
      <c r="AW20" s="15">
        <f t="shared" si="8"/>
        <v>0</v>
      </c>
      <c r="AX20" s="15">
        <f t="shared" si="9"/>
        <v>5</v>
      </c>
      <c r="AY20" s="25">
        <f t="shared" si="10"/>
        <v>30</v>
      </c>
      <c r="AZ20" s="25">
        <f>JanReport18[[#This Row],[Days]]-JanReport18[[#This Row],[Abesent]]</f>
        <v>30</v>
      </c>
      <c r="BA20" s="26">
        <v>19000</v>
      </c>
      <c r="BB20" s="27">
        <f>JanReport18[[#This Row],[Salary]]/JanReport18[[#This Row],[Days]]</f>
        <v>633.33333333333337</v>
      </c>
      <c r="BC20" s="27">
        <f>JanReport18[[#This Row],[PerDaySalary]]*JanReport18[[#This Row],[Abesent]]</f>
        <v>0</v>
      </c>
      <c r="BD20" s="27">
        <f>JanReport18[[#This Row],[Salary]]-JanReport18[[#This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5</v>
      </c>
      <c r="I21" s="15" t="str">
        <f t="shared" si="3"/>
        <v>WO</v>
      </c>
      <c r="J21" s="15" t="s">
        <v>41</v>
      </c>
      <c r="K21" s="15" t="s">
        <v>41</v>
      </c>
      <c r="L21" s="15" t="s">
        <v>41</v>
      </c>
      <c r="M21" s="15" t="s">
        <v>41</v>
      </c>
      <c r="N21" s="15" t="s">
        <v>41</v>
      </c>
      <c r="O21" s="15" t="s">
        <v>41</v>
      </c>
      <c r="P21" s="15" t="str">
        <f t="shared" si="3"/>
        <v>WO</v>
      </c>
      <c r="Q21" s="15" t="s">
        <v>41</v>
      </c>
      <c r="R21" s="15" t="s">
        <v>41</v>
      </c>
      <c r="S21" s="15" t="s">
        <v>41</v>
      </c>
      <c r="T21" s="15" t="s">
        <v>41</v>
      </c>
      <c r="U21" s="15" t="s">
        <v>41</v>
      </c>
      <c r="V21" s="15" t="s">
        <v>41</v>
      </c>
      <c r="W21" s="15" t="str">
        <f t="shared" si="3"/>
        <v>WO</v>
      </c>
      <c r="X21" s="15" t="s">
        <v>41</v>
      </c>
      <c r="Y21" s="15" t="s">
        <v>41</v>
      </c>
      <c r="Z21" s="15" t="s">
        <v>41</v>
      </c>
      <c r="AA21" s="15" t="s">
        <v>41</v>
      </c>
      <c r="AB21" s="15" t="s">
        <v>41</v>
      </c>
      <c r="AC21" s="15" t="s">
        <v>41</v>
      </c>
      <c r="AD21" s="15" t="str">
        <f t="shared" si="4"/>
        <v>WO</v>
      </c>
      <c r="AE21" s="15" t="s">
        <v>41</v>
      </c>
      <c r="AF21" s="15" t="s">
        <v>41</v>
      </c>
      <c r="AG21" s="15" t="s">
        <v>41</v>
      </c>
      <c r="AH21" s="15" t="s">
        <v>41</v>
      </c>
      <c r="AI21" s="15" t="s">
        <v>41</v>
      </c>
      <c r="AJ21" s="15" t="s">
        <v>41</v>
      </c>
      <c r="AK21" s="15" t="str">
        <f t="shared" si="4"/>
        <v>WO</v>
      </c>
      <c r="AL21" s="15" t="s">
        <v>41</v>
      </c>
      <c r="AM21" s="16"/>
      <c r="AN21" s="41"/>
      <c r="AO21" s="41"/>
      <c r="AP21" s="30"/>
      <c r="AQ21" s="9">
        <v>15</v>
      </c>
      <c r="AR21" s="9" t="s">
        <v>17</v>
      </c>
      <c r="AS21" s="9" t="str">
        <f t="shared" si="5"/>
        <v>June</v>
      </c>
      <c r="AT21" s="10">
        <v>10015</v>
      </c>
      <c r="AU21" s="15">
        <f t="shared" si="6"/>
        <v>25</v>
      </c>
      <c r="AV21" s="15">
        <f t="shared" si="7"/>
        <v>0</v>
      </c>
      <c r="AW21" s="15">
        <f t="shared" si="8"/>
        <v>0</v>
      </c>
      <c r="AX21" s="15">
        <f t="shared" si="9"/>
        <v>5</v>
      </c>
      <c r="AY21" s="25">
        <f t="shared" si="10"/>
        <v>30</v>
      </c>
      <c r="AZ21" s="25">
        <f>JanReport18[[#This Row],[Days]]-JanReport18[[#This Row],[Abesent]]</f>
        <v>30</v>
      </c>
      <c r="BA21" s="26">
        <v>25000</v>
      </c>
      <c r="BB21" s="27">
        <f>JanReport18[[#This Row],[Salary]]/JanReport18[[#This Row],[Days]]</f>
        <v>833.33333333333337</v>
      </c>
      <c r="BC21" s="27">
        <f>JanReport18[[#This Row],[PerDaySalary]]*JanReport18[[#This Row],[Abesent]]</f>
        <v>0</v>
      </c>
      <c r="BD21" s="27">
        <f>JanReport18[[#This Row],[Salary]]-JanReport18[[#This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5</v>
      </c>
      <c r="I22" s="15" t="str">
        <f t="shared" si="3"/>
        <v>WO</v>
      </c>
      <c r="J22" s="15" t="s">
        <v>41</v>
      </c>
      <c r="K22" s="15" t="s">
        <v>41</v>
      </c>
      <c r="L22" s="15" t="s">
        <v>41</v>
      </c>
      <c r="M22" s="15" t="s">
        <v>42</v>
      </c>
      <c r="N22" s="15" t="s">
        <v>41</v>
      </c>
      <c r="O22" s="15" t="s">
        <v>41</v>
      </c>
      <c r="P22" s="15" t="str">
        <f t="shared" si="3"/>
        <v>WO</v>
      </c>
      <c r="Q22" s="15" t="s">
        <v>41</v>
      </c>
      <c r="R22" s="15" t="s">
        <v>41</v>
      </c>
      <c r="S22" s="15" t="s">
        <v>41</v>
      </c>
      <c r="T22" s="15" t="s">
        <v>42</v>
      </c>
      <c r="U22" s="15" t="s">
        <v>41</v>
      </c>
      <c r="V22" s="15" t="s">
        <v>41</v>
      </c>
      <c r="W22" s="15" t="str">
        <f t="shared" si="3"/>
        <v>WO</v>
      </c>
      <c r="X22" s="15" t="s">
        <v>41</v>
      </c>
      <c r="Y22" s="15" t="s">
        <v>41</v>
      </c>
      <c r="Z22" s="15" t="s">
        <v>41</v>
      </c>
      <c r="AA22" s="15" t="s">
        <v>42</v>
      </c>
      <c r="AB22" s="15" t="s">
        <v>41</v>
      </c>
      <c r="AC22" s="15" t="s">
        <v>41</v>
      </c>
      <c r="AD22" s="15" t="str">
        <f t="shared" si="4"/>
        <v>WO</v>
      </c>
      <c r="AE22" s="15" t="s">
        <v>41</v>
      </c>
      <c r="AF22" s="15" t="s">
        <v>41</v>
      </c>
      <c r="AG22" s="15" t="s">
        <v>41</v>
      </c>
      <c r="AH22" s="15" t="s">
        <v>42</v>
      </c>
      <c r="AI22" s="15" t="s">
        <v>41</v>
      </c>
      <c r="AJ22" s="15" t="s">
        <v>41</v>
      </c>
      <c r="AK22" s="15" t="str">
        <f t="shared" si="4"/>
        <v>WO</v>
      </c>
      <c r="AL22" s="15" t="s">
        <v>41</v>
      </c>
      <c r="AM22" s="16"/>
      <c r="AN22" s="41"/>
      <c r="AO22" s="41"/>
      <c r="AP22" s="30"/>
      <c r="AQ22" s="9">
        <v>16</v>
      </c>
      <c r="AR22" s="9" t="s">
        <v>18</v>
      </c>
      <c r="AS22" s="9" t="str">
        <f t="shared" si="5"/>
        <v>June</v>
      </c>
      <c r="AT22" s="10">
        <v>10016</v>
      </c>
      <c r="AU22" s="15">
        <f t="shared" si="6"/>
        <v>21</v>
      </c>
      <c r="AV22" s="15">
        <f t="shared" si="7"/>
        <v>4</v>
      </c>
      <c r="AW22" s="15">
        <f t="shared" si="8"/>
        <v>0</v>
      </c>
      <c r="AX22" s="15">
        <f t="shared" si="9"/>
        <v>5</v>
      </c>
      <c r="AY22" s="25">
        <f t="shared" si="10"/>
        <v>30</v>
      </c>
      <c r="AZ22" s="25">
        <f>JanReport18[[#This Row],[Days]]-JanReport18[[#This Row],[Abesent]]</f>
        <v>26</v>
      </c>
      <c r="BA22" s="26">
        <v>32000</v>
      </c>
      <c r="BB22" s="27">
        <f>JanReport18[[#This Row],[Salary]]/JanReport18[[#This Row],[Days]]</f>
        <v>1066.6666666666667</v>
      </c>
      <c r="BC22" s="27">
        <f>JanReport18[[#This Row],[PerDaySalary]]*JanReport18[[#This Row],[Abesent]]</f>
        <v>4266.666666666667</v>
      </c>
      <c r="BD22" s="27">
        <f>JanReport18[[#This Row],[Salary]]-JanReport18[[#This Row],[Deduction]]</f>
        <v>27733.333333333332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5</v>
      </c>
      <c r="I23" s="15" t="str">
        <f t="shared" ref="I23:W26" si="11">IF(I$5="Sun","WO","")</f>
        <v>WO</v>
      </c>
      <c r="J23" s="15" t="s">
        <v>41</v>
      </c>
      <c r="K23" s="15" t="s">
        <v>41</v>
      </c>
      <c r="L23" s="15" t="s">
        <v>41</v>
      </c>
      <c r="M23" s="15" t="s">
        <v>41</v>
      </c>
      <c r="N23" s="15" t="s">
        <v>41</v>
      </c>
      <c r="O23" s="15" t="s">
        <v>41</v>
      </c>
      <c r="P23" s="15" t="str">
        <f t="shared" si="11"/>
        <v>WO</v>
      </c>
      <c r="Q23" s="15" t="s">
        <v>41</v>
      </c>
      <c r="R23" s="15" t="s">
        <v>41</v>
      </c>
      <c r="S23" s="15" t="s">
        <v>41</v>
      </c>
      <c r="T23" s="15" t="s">
        <v>41</v>
      </c>
      <c r="U23" s="15" t="s">
        <v>41</v>
      </c>
      <c r="V23" s="15" t="s">
        <v>41</v>
      </c>
      <c r="W23" s="15" t="str">
        <f t="shared" si="11"/>
        <v>WO</v>
      </c>
      <c r="X23" s="15" t="s">
        <v>41</v>
      </c>
      <c r="Y23" s="15" t="s">
        <v>41</v>
      </c>
      <c r="Z23" s="15" t="s">
        <v>41</v>
      </c>
      <c r="AA23" s="15" t="s">
        <v>41</v>
      </c>
      <c r="AB23" s="15" t="s">
        <v>41</v>
      </c>
      <c r="AC23" s="15" t="s">
        <v>41</v>
      </c>
      <c r="AD23" s="15" t="str">
        <f t="shared" ref="AD23:AK26" si="12">IF(AD$5="Sun","WO","")</f>
        <v>WO</v>
      </c>
      <c r="AE23" s="15" t="s">
        <v>41</v>
      </c>
      <c r="AF23" s="15" t="s">
        <v>41</v>
      </c>
      <c r="AG23" s="15" t="s">
        <v>41</v>
      </c>
      <c r="AH23" s="15" t="s">
        <v>41</v>
      </c>
      <c r="AI23" s="15" t="s">
        <v>41</v>
      </c>
      <c r="AJ23" s="15" t="s">
        <v>41</v>
      </c>
      <c r="AK23" s="15" t="str">
        <f t="shared" si="12"/>
        <v>WO</v>
      </c>
      <c r="AL23" s="15" t="s">
        <v>41</v>
      </c>
      <c r="AM23" s="16"/>
      <c r="AN23" s="41"/>
      <c r="AO23" s="41"/>
      <c r="AP23" s="30"/>
      <c r="AQ23" s="9">
        <v>17</v>
      </c>
      <c r="AR23" s="9" t="s">
        <v>19</v>
      </c>
      <c r="AS23" s="9" t="str">
        <f t="shared" si="5"/>
        <v>June</v>
      </c>
      <c r="AT23" s="10">
        <v>10017</v>
      </c>
      <c r="AU23" s="15">
        <f t="shared" si="6"/>
        <v>25</v>
      </c>
      <c r="AV23" s="15">
        <f t="shared" si="7"/>
        <v>0</v>
      </c>
      <c r="AW23" s="15">
        <f t="shared" si="8"/>
        <v>0</v>
      </c>
      <c r="AX23" s="15">
        <f t="shared" si="9"/>
        <v>5</v>
      </c>
      <c r="AY23" s="25">
        <f t="shared" si="10"/>
        <v>30</v>
      </c>
      <c r="AZ23" s="25">
        <f>JanReport18[[#This Row],[Days]]-JanReport18[[#This Row],[Abesent]]</f>
        <v>30</v>
      </c>
      <c r="BA23" s="26">
        <v>35000</v>
      </c>
      <c r="BB23" s="27">
        <f>JanReport18[[#This Row],[Salary]]/JanReport18[[#This Row],[Days]]</f>
        <v>1166.6666666666667</v>
      </c>
      <c r="BC23" s="27">
        <f>JanReport18[[#This Row],[PerDaySalary]]*JanReport18[[#This Row],[Abesent]]</f>
        <v>0</v>
      </c>
      <c r="BD23" s="27">
        <f>JanReport18[[#This Row],[Salary]]-JanReport18[[#This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5</v>
      </c>
      <c r="I24" s="15" t="str">
        <f t="shared" si="11"/>
        <v>WO</v>
      </c>
      <c r="J24" s="15" t="s">
        <v>41</v>
      </c>
      <c r="K24" s="15" t="s">
        <v>41</v>
      </c>
      <c r="L24" s="15" t="s">
        <v>41</v>
      </c>
      <c r="M24" s="15" t="s">
        <v>41</v>
      </c>
      <c r="N24" s="15" t="s">
        <v>41</v>
      </c>
      <c r="O24" s="15" t="s">
        <v>41</v>
      </c>
      <c r="P24" s="15" t="str">
        <f t="shared" si="11"/>
        <v>WO</v>
      </c>
      <c r="Q24" s="15" t="s">
        <v>41</v>
      </c>
      <c r="R24" s="15" t="s">
        <v>41</v>
      </c>
      <c r="S24" s="15" t="s">
        <v>41</v>
      </c>
      <c r="T24" s="15" t="s">
        <v>41</v>
      </c>
      <c r="U24" s="15" t="s">
        <v>41</v>
      </c>
      <c r="V24" s="15" t="s">
        <v>41</v>
      </c>
      <c r="W24" s="15" t="str">
        <f t="shared" si="11"/>
        <v>WO</v>
      </c>
      <c r="X24" s="15" t="s">
        <v>41</v>
      </c>
      <c r="Y24" s="15" t="s">
        <v>41</v>
      </c>
      <c r="Z24" s="15" t="s">
        <v>41</v>
      </c>
      <c r="AA24" s="15" t="s">
        <v>41</v>
      </c>
      <c r="AB24" s="15" t="s">
        <v>41</v>
      </c>
      <c r="AC24" s="15" t="s">
        <v>41</v>
      </c>
      <c r="AD24" s="15" t="str">
        <f t="shared" si="12"/>
        <v>WO</v>
      </c>
      <c r="AE24" s="15" t="s">
        <v>41</v>
      </c>
      <c r="AF24" s="15" t="s">
        <v>41</v>
      </c>
      <c r="AG24" s="15" t="s">
        <v>41</v>
      </c>
      <c r="AH24" s="15" t="s">
        <v>41</v>
      </c>
      <c r="AI24" s="15" t="s">
        <v>41</v>
      </c>
      <c r="AJ24" s="15" t="s">
        <v>41</v>
      </c>
      <c r="AK24" s="15" t="str">
        <f t="shared" si="12"/>
        <v>WO</v>
      </c>
      <c r="AL24" s="15" t="s">
        <v>41</v>
      </c>
      <c r="AM24" s="16"/>
      <c r="AN24" s="41"/>
      <c r="AO24" s="41"/>
      <c r="AP24" s="30"/>
      <c r="AQ24" s="9">
        <v>18</v>
      </c>
      <c r="AR24" s="9" t="s">
        <v>20</v>
      </c>
      <c r="AS24" s="9" t="str">
        <f t="shared" si="5"/>
        <v>June</v>
      </c>
      <c r="AT24" s="10">
        <v>10018</v>
      </c>
      <c r="AU24" s="15">
        <f t="shared" si="6"/>
        <v>25</v>
      </c>
      <c r="AV24" s="15">
        <f t="shared" si="7"/>
        <v>0</v>
      </c>
      <c r="AW24" s="15">
        <f t="shared" si="8"/>
        <v>0</v>
      </c>
      <c r="AX24" s="15">
        <f t="shared" si="9"/>
        <v>5</v>
      </c>
      <c r="AY24" s="25">
        <f t="shared" si="10"/>
        <v>30</v>
      </c>
      <c r="AZ24" s="25">
        <f>JanReport18[[#This Row],[Days]]-JanReport18[[#This Row],[Abesent]]</f>
        <v>30</v>
      </c>
      <c r="BA24" s="26">
        <v>28000</v>
      </c>
      <c r="BB24" s="27">
        <f>JanReport18[[#This Row],[Salary]]/JanReport18[[#This Row],[Days]]</f>
        <v>933.33333333333337</v>
      </c>
      <c r="BC24" s="27">
        <f>JanReport18[[#This Row],[PerDaySalary]]*JanReport18[[#This Row],[Abesent]]</f>
        <v>0</v>
      </c>
      <c r="BD24" s="27">
        <f>JanReport18[[#This Row],[Salary]]-JanReport18[[#This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5</v>
      </c>
      <c r="I25" s="15" t="str">
        <f t="shared" si="11"/>
        <v>WO</v>
      </c>
      <c r="J25" s="15" t="s">
        <v>41</v>
      </c>
      <c r="K25" s="15" t="s">
        <v>41</v>
      </c>
      <c r="L25" s="15" t="s">
        <v>41</v>
      </c>
      <c r="M25" s="15" t="s">
        <v>41</v>
      </c>
      <c r="N25" s="15" t="s">
        <v>41</v>
      </c>
      <c r="O25" s="15" t="s">
        <v>41</v>
      </c>
      <c r="P25" s="15" t="str">
        <f t="shared" si="11"/>
        <v>WO</v>
      </c>
      <c r="Q25" s="15" t="s">
        <v>41</v>
      </c>
      <c r="R25" s="15" t="s">
        <v>41</v>
      </c>
      <c r="S25" s="15" t="s">
        <v>41</v>
      </c>
      <c r="T25" s="15" t="s">
        <v>41</v>
      </c>
      <c r="U25" s="15" t="s">
        <v>41</v>
      </c>
      <c r="V25" s="15" t="s">
        <v>41</v>
      </c>
      <c r="W25" s="15" t="str">
        <f t="shared" si="11"/>
        <v>WO</v>
      </c>
      <c r="X25" s="15" t="s">
        <v>41</v>
      </c>
      <c r="Y25" s="15" t="s">
        <v>41</v>
      </c>
      <c r="Z25" s="15" t="s">
        <v>41</v>
      </c>
      <c r="AA25" s="15" t="s">
        <v>41</v>
      </c>
      <c r="AB25" s="15" t="s">
        <v>41</v>
      </c>
      <c r="AC25" s="15" t="s">
        <v>41</v>
      </c>
      <c r="AD25" s="15" t="str">
        <f t="shared" si="12"/>
        <v>WO</v>
      </c>
      <c r="AE25" s="15" t="s">
        <v>41</v>
      </c>
      <c r="AF25" s="15" t="s">
        <v>41</v>
      </c>
      <c r="AG25" s="15" t="s">
        <v>41</v>
      </c>
      <c r="AH25" s="15" t="s">
        <v>41</v>
      </c>
      <c r="AI25" s="15" t="s">
        <v>41</v>
      </c>
      <c r="AJ25" s="15" t="s">
        <v>41</v>
      </c>
      <c r="AK25" s="15" t="str">
        <f t="shared" si="12"/>
        <v>WO</v>
      </c>
      <c r="AL25" s="15" t="s">
        <v>41</v>
      </c>
      <c r="AM25" s="16"/>
      <c r="AN25" s="41"/>
      <c r="AO25" s="41"/>
      <c r="AP25" s="30"/>
      <c r="AQ25" s="9">
        <v>19</v>
      </c>
      <c r="AR25" s="9" t="s">
        <v>21</v>
      </c>
      <c r="AS25" s="9" t="str">
        <f t="shared" si="5"/>
        <v>June</v>
      </c>
      <c r="AT25" s="10">
        <v>10019</v>
      </c>
      <c r="AU25" s="15">
        <f t="shared" si="6"/>
        <v>25</v>
      </c>
      <c r="AV25" s="15">
        <f t="shared" si="7"/>
        <v>0</v>
      </c>
      <c r="AW25" s="15">
        <f t="shared" si="8"/>
        <v>0</v>
      </c>
      <c r="AX25" s="15">
        <f t="shared" si="9"/>
        <v>5</v>
      </c>
      <c r="AY25" s="25">
        <f t="shared" si="10"/>
        <v>30</v>
      </c>
      <c r="AZ25" s="25">
        <f>JanReport18[[#This Row],[Days]]-JanReport18[[#This Row],[Abesent]]</f>
        <v>30</v>
      </c>
      <c r="BA25" s="26">
        <v>19000</v>
      </c>
      <c r="BB25" s="27">
        <f>JanReport18[[#This Row],[Salary]]/JanReport18[[#This Row],[Days]]</f>
        <v>633.33333333333337</v>
      </c>
      <c r="BC25" s="27">
        <f>JanReport18[[#This Row],[PerDaySalary]]*JanReport18[[#This Row],[Abesent]]</f>
        <v>0</v>
      </c>
      <c r="BD25" s="27">
        <f>JanReport18[[#This Row],[Salary]]-JanReport18[[#This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5</v>
      </c>
      <c r="I26" s="17" t="str">
        <f t="shared" si="11"/>
        <v>WO</v>
      </c>
      <c r="J26" s="17" t="s">
        <v>41</v>
      </c>
      <c r="K26" s="17" t="s">
        <v>41</v>
      </c>
      <c r="L26" s="17" t="s">
        <v>41</v>
      </c>
      <c r="M26" s="17" t="s">
        <v>41</v>
      </c>
      <c r="N26" s="17" t="s">
        <v>41</v>
      </c>
      <c r="O26" s="17" t="s">
        <v>41</v>
      </c>
      <c r="P26" s="17" t="str">
        <f t="shared" si="11"/>
        <v>WO</v>
      </c>
      <c r="Q26" s="17" t="s">
        <v>41</v>
      </c>
      <c r="R26" s="17" t="s">
        <v>41</v>
      </c>
      <c r="S26" s="17" t="s">
        <v>41</v>
      </c>
      <c r="T26" s="17" t="s">
        <v>41</v>
      </c>
      <c r="U26" s="17" t="s">
        <v>41</v>
      </c>
      <c r="V26" s="17" t="s">
        <v>41</v>
      </c>
      <c r="W26" s="17" t="str">
        <f t="shared" si="11"/>
        <v>WO</v>
      </c>
      <c r="X26" s="17" t="s">
        <v>41</v>
      </c>
      <c r="Y26" s="17" t="s">
        <v>41</v>
      </c>
      <c r="Z26" s="17" t="s">
        <v>41</v>
      </c>
      <c r="AA26" s="17" t="s">
        <v>41</v>
      </c>
      <c r="AB26" s="17" t="s">
        <v>41</v>
      </c>
      <c r="AC26" s="17" t="s">
        <v>41</v>
      </c>
      <c r="AD26" s="17" t="str">
        <f t="shared" si="12"/>
        <v>WO</v>
      </c>
      <c r="AE26" s="17" t="s">
        <v>41</v>
      </c>
      <c r="AF26" s="17" t="s">
        <v>41</v>
      </c>
      <c r="AG26" s="17" t="s">
        <v>41</v>
      </c>
      <c r="AH26" s="17" t="s">
        <v>41</v>
      </c>
      <c r="AI26" s="17" t="s">
        <v>41</v>
      </c>
      <c r="AJ26" s="17" t="s">
        <v>41</v>
      </c>
      <c r="AK26" s="17" t="str">
        <f t="shared" si="12"/>
        <v>WO</v>
      </c>
      <c r="AL26" s="17" t="s">
        <v>41</v>
      </c>
      <c r="AM26" s="18"/>
      <c r="AN26" s="41"/>
      <c r="AO26" s="41"/>
      <c r="AP26" s="30"/>
      <c r="AQ26" s="9">
        <v>20</v>
      </c>
      <c r="AR26" s="9" t="s">
        <v>22</v>
      </c>
      <c r="AS26" s="9" t="str">
        <f t="shared" si="5"/>
        <v>June</v>
      </c>
      <c r="AT26" s="10">
        <v>10020</v>
      </c>
      <c r="AU26" s="15">
        <f t="shared" si="6"/>
        <v>25</v>
      </c>
      <c r="AV26" s="15">
        <f t="shared" si="7"/>
        <v>0</v>
      </c>
      <c r="AW26" s="15">
        <f t="shared" si="8"/>
        <v>0</v>
      </c>
      <c r="AX26" s="15">
        <f t="shared" si="9"/>
        <v>5</v>
      </c>
      <c r="AY26" s="25">
        <f t="shared" si="10"/>
        <v>30</v>
      </c>
      <c r="AZ26" s="25">
        <f>JanReport18[[#This Row],[Days]]-JanReport18[[#This Row],[Abesent]]</f>
        <v>30</v>
      </c>
      <c r="BA26" s="26">
        <v>20000</v>
      </c>
      <c r="BB26" s="27">
        <f>JanReport18[[#This Row],[Salary]]/JanReport18[[#This Row],[Days]]</f>
        <v>666.66666666666663</v>
      </c>
      <c r="BC26" s="27">
        <f>JanReport18[[#This Row],[PerDaySalary]]*JanReport18[[#This Row],[Abesent]]</f>
        <v>0</v>
      </c>
      <c r="BD26" s="27">
        <f>JanReport18[[#This Row],[Salary]]-JanReport18[[#This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27" priority="1" operator="containsText" text="L">
      <formula>NOT(ISERROR(SEARCH("L",I7)))</formula>
    </cfRule>
    <cfRule type="containsText" dxfId="26" priority="2" operator="containsText" text="A">
      <formula>NOT(ISERROR(SEARCH("A",I7)))</formula>
    </cfRule>
    <cfRule type="containsText" dxfId="25" priority="3" operator="containsText" text="P">
      <formula>NOT(ISERROR(SEARCH("P",I7)))</formula>
    </cfRule>
    <cfRule type="containsText" dxfId="24" priority="4" operator="containsText" text="WO">
      <formula>NOT(ISERROR(SEARCH("WO",I7)))</formula>
    </cfRule>
  </conditionalFormatting>
  <dataValidations count="1">
    <dataValidation type="list" allowBlank="1" showInputMessage="1" showErrorMessage="1" sqref="AE7:AJ26 J7:O26 Q7:V26 X7:AC26 AL7:AL26" xr:uid="{BFC3D387-5DAF-4D64-BC7E-E8705DE75D09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52122C-545C-496A-A81B-FE42454BF8AC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2B3FE19-CE6E-4C29-888A-9C197827E2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Jun!AU7:AW7</xm:f>
              <xm:sqref>BE7</xm:sqref>
            </x14:sparkline>
            <x14:sparkline>
              <xm:f>Jun!AU8:AW8</xm:f>
              <xm:sqref>BE8</xm:sqref>
            </x14:sparkline>
            <x14:sparkline>
              <xm:f>Jun!AU9:AW9</xm:f>
              <xm:sqref>BE9</xm:sqref>
            </x14:sparkline>
            <x14:sparkline>
              <xm:f>Jun!AU10:AW10</xm:f>
              <xm:sqref>BE10</xm:sqref>
            </x14:sparkline>
            <x14:sparkline>
              <xm:f>Jun!AU11:AW11</xm:f>
              <xm:sqref>BE11</xm:sqref>
            </x14:sparkline>
            <x14:sparkline>
              <xm:f>Jun!AU12:AW12</xm:f>
              <xm:sqref>BE12</xm:sqref>
            </x14:sparkline>
            <x14:sparkline>
              <xm:f>Jun!AU13:AW13</xm:f>
              <xm:sqref>BE13</xm:sqref>
            </x14:sparkline>
            <x14:sparkline>
              <xm:f>Jun!AU14:AW14</xm:f>
              <xm:sqref>BE14</xm:sqref>
            </x14:sparkline>
            <x14:sparkline>
              <xm:f>Jun!AU15:AW15</xm:f>
              <xm:sqref>BE15</xm:sqref>
            </x14:sparkline>
            <x14:sparkline>
              <xm:f>Jun!AU16:AW16</xm:f>
              <xm:sqref>BE16</xm:sqref>
            </x14:sparkline>
            <x14:sparkline>
              <xm:f>Jun!AU17:AW17</xm:f>
              <xm:sqref>BE17</xm:sqref>
            </x14:sparkline>
            <x14:sparkline>
              <xm:f>Jun!AU18:AW18</xm:f>
              <xm:sqref>BE18</xm:sqref>
            </x14:sparkline>
            <x14:sparkline>
              <xm:f>Jun!AU19:AW19</xm:f>
              <xm:sqref>BE19</xm:sqref>
            </x14:sparkline>
            <x14:sparkline>
              <xm:f>Jun!AU20:AW20</xm:f>
              <xm:sqref>BE20</xm:sqref>
            </x14:sparkline>
            <x14:sparkline>
              <xm:f>Jun!AU21:AW21</xm:f>
              <xm:sqref>BE21</xm:sqref>
            </x14:sparkline>
            <x14:sparkline>
              <xm:f>Jun!AU22:AW22</xm:f>
              <xm:sqref>BE22</xm:sqref>
            </x14:sparkline>
            <x14:sparkline>
              <xm:f>Jun!AU23:AW23</xm:f>
              <xm:sqref>BE23</xm:sqref>
            </x14:sparkline>
            <x14:sparkline>
              <xm:f>Jun!AU24:AW24</xm:f>
              <xm:sqref>BE24</xm:sqref>
            </x14:sparkline>
            <x14:sparkline>
              <xm:f>Jun!AU25:AW25</xm:f>
              <xm:sqref>BE25</xm:sqref>
            </x14:sparkline>
            <x14:sparkline>
              <xm:f>Jun!AU26:AW26</xm:f>
              <xm:sqref>BE26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B9F9-34BC-496B-94C6-AD6B2A73D9BE}">
  <dimension ref="A1:BI32"/>
  <sheetViews>
    <sheetView zoomScaleNormal="100" workbookViewId="0"/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45839</v>
      </c>
      <c r="G4" s="42" t="str">
        <f>TEXT(F4,"MMMM")</f>
        <v>July</v>
      </c>
      <c r="H4" s="44">
        <f>(DATEDIF(F4,J4,"D"))+1</f>
        <v>31</v>
      </c>
      <c r="I4" s="42" t="s">
        <v>26</v>
      </c>
      <c r="J4" s="47">
        <f>EOMONTH(F4,0)</f>
        <v>45869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Tue</v>
      </c>
      <c r="J5" s="13" t="str">
        <f t="shared" ref="J5:AM5" si="0">TEXT(J6,"ddd")</f>
        <v>Wed</v>
      </c>
      <c r="K5" s="13" t="str">
        <f t="shared" si="0"/>
        <v>Thu</v>
      </c>
      <c r="L5" s="13" t="str">
        <f t="shared" si="0"/>
        <v>Fri</v>
      </c>
      <c r="M5" s="13" t="str">
        <f t="shared" si="0"/>
        <v>Sat</v>
      </c>
      <c r="N5" s="13" t="str">
        <f t="shared" si="0"/>
        <v>Sun</v>
      </c>
      <c r="O5" s="13" t="str">
        <f t="shared" si="0"/>
        <v>Mon</v>
      </c>
      <c r="P5" s="13" t="str">
        <f t="shared" si="0"/>
        <v>Tue</v>
      </c>
      <c r="Q5" s="13" t="str">
        <f t="shared" si="0"/>
        <v>Wed</v>
      </c>
      <c r="R5" s="13" t="str">
        <f t="shared" si="0"/>
        <v>Thu</v>
      </c>
      <c r="S5" s="13" t="str">
        <f t="shared" si="0"/>
        <v>Fri</v>
      </c>
      <c r="T5" s="13" t="str">
        <f t="shared" si="0"/>
        <v>Sat</v>
      </c>
      <c r="U5" s="13" t="str">
        <f t="shared" si="0"/>
        <v>Sun</v>
      </c>
      <c r="V5" s="13" t="str">
        <f t="shared" si="0"/>
        <v>Mon</v>
      </c>
      <c r="W5" s="13" t="str">
        <f t="shared" si="0"/>
        <v>Tue</v>
      </c>
      <c r="X5" s="13" t="str">
        <f t="shared" si="0"/>
        <v>Wed</v>
      </c>
      <c r="Y5" s="13" t="str">
        <f t="shared" si="0"/>
        <v>Thu</v>
      </c>
      <c r="Z5" s="13" t="str">
        <f t="shared" si="0"/>
        <v>Fri</v>
      </c>
      <c r="AA5" s="13" t="str">
        <f t="shared" si="0"/>
        <v>Sat</v>
      </c>
      <c r="AB5" s="13" t="str">
        <f t="shared" si="0"/>
        <v>Sun</v>
      </c>
      <c r="AC5" s="13" t="str">
        <f t="shared" si="0"/>
        <v>Mon</v>
      </c>
      <c r="AD5" s="13" t="str">
        <f t="shared" si="0"/>
        <v>Tue</v>
      </c>
      <c r="AE5" s="13" t="str">
        <f t="shared" si="0"/>
        <v>Wed</v>
      </c>
      <c r="AF5" s="13" t="str">
        <f t="shared" si="0"/>
        <v>Thu</v>
      </c>
      <c r="AG5" s="13" t="str">
        <f t="shared" si="0"/>
        <v>Fri</v>
      </c>
      <c r="AH5" s="13" t="str">
        <f t="shared" si="0"/>
        <v>Sat</v>
      </c>
      <c r="AI5" s="13" t="str">
        <f t="shared" si="0"/>
        <v>Sun</v>
      </c>
      <c r="AJ5" s="13" t="str">
        <f t="shared" si="0"/>
        <v>Mon</v>
      </c>
      <c r="AK5" s="13" t="str">
        <f t="shared" si="0"/>
        <v>Tue</v>
      </c>
      <c r="AL5" s="13" t="str">
        <f t="shared" si="0"/>
        <v>Wed</v>
      </c>
      <c r="AM5" s="14" t="str">
        <f t="shared" si="0"/>
        <v>Thu</v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45839</v>
      </c>
      <c r="J6" s="34">
        <f>IF(I6&lt;$J$4,I6+1,"")</f>
        <v>45840</v>
      </c>
      <c r="K6" s="34">
        <f t="shared" ref="K6:AM6" si="1">IF(J6&lt;$J$4,J6+1,"")</f>
        <v>45841</v>
      </c>
      <c r="L6" s="34">
        <f t="shared" si="1"/>
        <v>45842</v>
      </c>
      <c r="M6" s="34">
        <f t="shared" si="1"/>
        <v>45843</v>
      </c>
      <c r="N6" s="34">
        <f t="shared" si="1"/>
        <v>45844</v>
      </c>
      <c r="O6" s="34">
        <f t="shared" si="1"/>
        <v>45845</v>
      </c>
      <c r="P6" s="34">
        <f t="shared" si="1"/>
        <v>45846</v>
      </c>
      <c r="Q6" s="34">
        <f t="shared" si="1"/>
        <v>45847</v>
      </c>
      <c r="R6" s="34">
        <f t="shared" si="1"/>
        <v>45848</v>
      </c>
      <c r="S6" s="34">
        <f t="shared" si="1"/>
        <v>45849</v>
      </c>
      <c r="T6" s="34">
        <f t="shared" si="1"/>
        <v>45850</v>
      </c>
      <c r="U6" s="34">
        <f t="shared" si="1"/>
        <v>45851</v>
      </c>
      <c r="V6" s="34">
        <f t="shared" si="1"/>
        <v>45852</v>
      </c>
      <c r="W6" s="34">
        <f t="shared" si="1"/>
        <v>45853</v>
      </c>
      <c r="X6" s="34">
        <f t="shared" si="1"/>
        <v>45854</v>
      </c>
      <c r="Y6" s="34">
        <f t="shared" si="1"/>
        <v>45855</v>
      </c>
      <c r="Z6" s="34">
        <f t="shared" si="1"/>
        <v>45856</v>
      </c>
      <c r="AA6" s="34">
        <f t="shared" si="1"/>
        <v>45857</v>
      </c>
      <c r="AB6" s="34">
        <f t="shared" si="1"/>
        <v>45858</v>
      </c>
      <c r="AC6" s="34">
        <f t="shared" si="1"/>
        <v>45859</v>
      </c>
      <c r="AD6" s="34">
        <f t="shared" si="1"/>
        <v>45860</v>
      </c>
      <c r="AE6" s="34">
        <f t="shared" si="1"/>
        <v>45861</v>
      </c>
      <c r="AF6" s="34">
        <f t="shared" si="1"/>
        <v>45862</v>
      </c>
      <c r="AG6" s="34">
        <f t="shared" si="1"/>
        <v>45863</v>
      </c>
      <c r="AH6" s="34">
        <f t="shared" si="1"/>
        <v>45864</v>
      </c>
      <c r="AI6" s="34">
        <f t="shared" si="1"/>
        <v>45865</v>
      </c>
      <c r="AJ6" s="34">
        <f t="shared" si="1"/>
        <v>45866</v>
      </c>
      <c r="AK6" s="34">
        <f t="shared" si="1"/>
        <v>45867</v>
      </c>
      <c r="AL6" s="34">
        <f t="shared" si="1"/>
        <v>45868</v>
      </c>
      <c r="AM6" s="36">
        <f t="shared" si="1"/>
        <v>45869</v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4</v>
      </c>
      <c r="I7" s="15" t="s">
        <v>41</v>
      </c>
      <c r="J7" s="15" t="s">
        <v>41</v>
      </c>
      <c r="K7" s="15" t="s">
        <v>41</v>
      </c>
      <c r="L7" s="15" t="s">
        <v>41</v>
      </c>
      <c r="M7" s="15" t="s">
        <v>41</v>
      </c>
      <c r="N7" s="15" t="str">
        <f t="shared" ref="N7:U22" si="3">IF(N$5="Sun","WO","")</f>
        <v>WO</v>
      </c>
      <c r="O7" s="15" t="s">
        <v>41</v>
      </c>
      <c r="P7" s="15" t="s">
        <v>41</v>
      </c>
      <c r="Q7" s="15" t="s">
        <v>41</v>
      </c>
      <c r="R7" s="15" t="s">
        <v>41</v>
      </c>
      <c r="S7" s="15" t="s">
        <v>41</v>
      </c>
      <c r="T7" s="15" t="s">
        <v>43</v>
      </c>
      <c r="U7" s="15" t="str">
        <f t="shared" si="3"/>
        <v>WO</v>
      </c>
      <c r="V7" s="15" t="s">
        <v>41</v>
      </c>
      <c r="W7" s="15" t="s">
        <v>41</v>
      </c>
      <c r="X7" s="15" t="s">
        <v>41</v>
      </c>
      <c r="Y7" s="15" t="s">
        <v>41</v>
      </c>
      <c r="Z7" s="15" t="s">
        <v>41</v>
      </c>
      <c r="AA7" s="15" t="s">
        <v>41</v>
      </c>
      <c r="AB7" s="15" t="str">
        <f t="shared" ref="AB7:AI22" si="4">IF(AB$5="Sun","WO","")</f>
        <v>WO</v>
      </c>
      <c r="AC7" s="15" t="s">
        <v>41</v>
      </c>
      <c r="AD7" s="15" t="s">
        <v>41</v>
      </c>
      <c r="AE7" s="15" t="s">
        <v>43</v>
      </c>
      <c r="AF7" s="15" t="s">
        <v>41</v>
      </c>
      <c r="AG7" s="15" t="s">
        <v>41</v>
      </c>
      <c r="AH7" s="15" t="s">
        <v>41</v>
      </c>
      <c r="AI7" s="15" t="str">
        <f t="shared" si="4"/>
        <v>WO</v>
      </c>
      <c r="AJ7" s="15" t="s">
        <v>41</v>
      </c>
      <c r="AK7" s="15" t="s">
        <v>41</v>
      </c>
      <c r="AL7" s="15" t="s">
        <v>41</v>
      </c>
      <c r="AM7" s="16" t="s">
        <v>41</v>
      </c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July</v>
      </c>
      <c r="AT7" s="7">
        <v>10001</v>
      </c>
      <c r="AU7" s="21">
        <f t="shared" ref="AU7:AU26" si="6">COUNTIF($I7:$AM7,"P")</f>
        <v>25</v>
      </c>
      <c r="AV7" s="21">
        <f t="shared" ref="AV7:AV26" si="7">COUNTIF($I7:$AM7,"A")</f>
        <v>0</v>
      </c>
      <c r="AW7" s="21">
        <f t="shared" ref="AW7:AW26" si="8">COUNTIF($I7:$AM7,"L")</f>
        <v>2</v>
      </c>
      <c r="AX7" s="21">
        <f t="shared" ref="AX7:AX26" si="9">$H$7</f>
        <v>4</v>
      </c>
      <c r="AY7" s="22">
        <f t="shared" ref="AY7:AY26" si="10">$H$4</f>
        <v>31</v>
      </c>
      <c r="AZ7" s="22">
        <f>JanReport19[[#This Row],[Days]]-JanReport19[[#This Row],[Abesent]]</f>
        <v>31</v>
      </c>
      <c r="BA7" s="23">
        <v>10000</v>
      </c>
      <c r="BB7" s="24">
        <f>JanReport19[[#This Row],[Salary]]/JanReport19[[#This Row],[Days]]</f>
        <v>322.58064516129031</v>
      </c>
      <c r="BC7" s="24">
        <f>JanReport19[[#This Row],[PerDaySalary]]*JanReport19[[#This Row],[Abesent]]</f>
        <v>0</v>
      </c>
      <c r="BD7" s="24">
        <f>JanReport19[[#This Row],[Salary]]-JanReport19[[#This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4</v>
      </c>
      <c r="I8" s="15" t="s">
        <v>41</v>
      </c>
      <c r="J8" s="15" t="s">
        <v>41</v>
      </c>
      <c r="K8" s="15" t="s">
        <v>41</v>
      </c>
      <c r="L8" s="15" t="s">
        <v>41</v>
      </c>
      <c r="M8" s="15" t="s">
        <v>41</v>
      </c>
      <c r="N8" s="15" t="str">
        <f t="shared" si="3"/>
        <v>WO</v>
      </c>
      <c r="O8" s="15" t="s">
        <v>41</v>
      </c>
      <c r="P8" s="15" t="s">
        <v>41</v>
      </c>
      <c r="Q8" s="15" t="s">
        <v>41</v>
      </c>
      <c r="R8" s="15" t="s">
        <v>41</v>
      </c>
      <c r="S8" s="15" t="s">
        <v>41</v>
      </c>
      <c r="T8" s="15" t="s">
        <v>43</v>
      </c>
      <c r="U8" s="15" t="str">
        <f t="shared" si="3"/>
        <v>WO</v>
      </c>
      <c r="V8" s="15" t="s">
        <v>41</v>
      </c>
      <c r="W8" s="15" t="s">
        <v>41</v>
      </c>
      <c r="X8" s="15" t="s">
        <v>41</v>
      </c>
      <c r="Y8" s="15" t="s">
        <v>41</v>
      </c>
      <c r="Z8" s="15" t="s">
        <v>41</v>
      </c>
      <c r="AA8" s="15" t="s">
        <v>41</v>
      </c>
      <c r="AB8" s="15" t="str">
        <f t="shared" si="4"/>
        <v>WO</v>
      </c>
      <c r="AC8" s="15" t="s">
        <v>41</v>
      </c>
      <c r="AD8" s="15" t="s">
        <v>41</v>
      </c>
      <c r="AE8" s="15" t="s">
        <v>43</v>
      </c>
      <c r="AF8" s="15" t="s">
        <v>41</v>
      </c>
      <c r="AG8" s="15" t="s">
        <v>41</v>
      </c>
      <c r="AH8" s="15" t="s">
        <v>41</v>
      </c>
      <c r="AI8" s="15" t="str">
        <f t="shared" si="4"/>
        <v>WO</v>
      </c>
      <c r="AJ8" s="15" t="s">
        <v>41</v>
      </c>
      <c r="AK8" s="15" t="s">
        <v>41</v>
      </c>
      <c r="AL8" s="15" t="s">
        <v>41</v>
      </c>
      <c r="AM8" s="16" t="s">
        <v>41</v>
      </c>
      <c r="AN8" s="41"/>
      <c r="AO8" s="41"/>
      <c r="AP8" s="31"/>
      <c r="AQ8" s="9">
        <v>2</v>
      </c>
      <c r="AR8" s="9" t="s">
        <v>4</v>
      </c>
      <c r="AS8" s="9" t="str">
        <f t="shared" si="5"/>
        <v>July</v>
      </c>
      <c r="AT8" s="10">
        <v>10002</v>
      </c>
      <c r="AU8" s="15">
        <f t="shared" si="6"/>
        <v>25</v>
      </c>
      <c r="AV8" s="15">
        <f t="shared" si="7"/>
        <v>0</v>
      </c>
      <c r="AW8" s="15">
        <f t="shared" si="8"/>
        <v>2</v>
      </c>
      <c r="AX8" s="15">
        <f t="shared" si="9"/>
        <v>4</v>
      </c>
      <c r="AY8" s="25">
        <f t="shared" si="10"/>
        <v>31</v>
      </c>
      <c r="AZ8" s="25">
        <f>JanReport19[[#This Row],[Days]]-JanReport19[[#This Row],[Abesent]]</f>
        <v>31</v>
      </c>
      <c r="BA8" s="26">
        <v>15000</v>
      </c>
      <c r="BB8" s="27">
        <f>JanReport19[[#This Row],[Salary]]/JanReport19[[#This Row],[Days]]</f>
        <v>483.87096774193549</v>
      </c>
      <c r="BC8" s="27">
        <f>JanReport19[[#This Row],[PerDaySalary]]*JanReport19[[#This Row],[Abesent]]</f>
        <v>0</v>
      </c>
      <c r="BD8" s="27">
        <f>JanReport19[[#This Row],[Salary]]-JanReport19[[#This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4</v>
      </c>
      <c r="I9" s="15" t="s">
        <v>41</v>
      </c>
      <c r="J9" s="15" t="s">
        <v>41</v>
      </c>
      <c r="K9" s="15" t="s">
        <v>41</v>
      </c>
      <c r="L9" s="15" t="s">
        <v>41</v>
      </c>
      <c r="M9" s="15" t="s">
        <v>41</v>
      </c>
      <c r="N9" s="15" t="str">
        <f t="shared" si="3"/>
        <v>WO</v>
      </c>
      <c r="O9" s="15" t="s">
        <v>41</v>
      </c>
      <c r="P9" s="15" t="s">
        <v>41</v>
      </c>
      <c r="Q9" s="15" t="s">
        <v>41</v>
      </c>
      <c r="R9" s="15" t="s">
        <v>41</v>
      </c>
      <c r="S9" s="15" t="s">
        <v>41</v>
      </c>
      <c r="T9" s="15" t="s">
        <v>43</v>
      </c>
      <c r="U9" s="15" t="str">
        <f t="shared" si="3"/>
        <v>WO</v>
      </c>
      <c r="V9" s="15" t="s">
        <v>41</v>
      </c>
      <c r="W9" s="15" t="s">
        <v>41</v>
      </c>
      <c r="X9" s="15" t="s">
        <v>41</v>
      </c>
      <c r="Y9" s="15" t="s">
        <v>41</v>
      </c>
      <c r="Z9" s="15" t="s">
        <v>41</v>
      </c>
      <c r="AA9" s="15" t="s">
        <v>41</v>
      </c>
      <c r="AB9" s="15" t="str">
        <f t="shared" si="4"/>
        <v>WO</v>
      </c>
      <c r="AC9" s="15" t="s">
        <v>41</v>
      </c>
      <c r="AD9" s="15" t="s">
        <v>41</v>
      </c>
      <c r="AE9" s="15" t="s">
        <v>43</v>
      </c>
      <c r="AF9" s="15" t="s">
        <v>41</v>
      </c>
      <c r="AG9" s="15" t="s">
        <v>41</v>
      </c>
      <c r="AH9" s="15" t="s">
        <v>41</v>
      </c>
      <c r="AI9" s="15" t="str">
        <f t="shared" si="4"/>
        <v>WO</v>
      </c>
      <c r="AJ9" s="15" t="s">
        <v>41</v>
      </c>
      <c r="AK9" s="15" t="s">
        <v>41</v>
      </c>
      <c r="AL9" s="15" t="s">
        <v>41</v>
      </c>
      <c r="AM9" s="16" t="s">
        <v>41</v>
      </c>
      <c r="AN9" s="41"/>
      <c r="AO9" s="41"/>
      <c r="AP9" s="30"/>
      <c r="AQ9" s="9">
        <v>3</v>
      </c>
      <c r="AR9" s="9" t="s">
        <v>5</v>
      </c>
      <c r="AS9" s="9" t="str">
        <f t="shared" si="5"/>
        <v>July</v>
      </c>
      <c r="AT9" s="10">
        <v>10003</v>
      </c>
      <c r="AU9" s="15">
        <f t="shared" si="6"/>
        <v>25</v>
      </c>
      <c r="AV9" s="15">
        <f t="shared" si="7"/>
        <v>0</v>
      </c>
      <c r="AW9" s="15">
        <f t="shared" si="8"/>
        <v>2</v>
      </c>
      <c r="AX9" s="15">
        <f t="shared" si="9"/>
        <v>4</v>
      </c>
      <c r="AY9" s="25">
        <f t="shared" si="10"/>
        <v>31</v>
      </c>
      <c r="AZ9" s="25">
        <f>JanReport19[[#This Row],[Days]]-JanReport19[[#This Row],[Abesent]]</f>
        <v>31</v>
      </c>
      <c r="BA9" s="26">
        <v>20000</v>
      </c>
      <c r="BB9" s="27">
        <f>JanReport19[[#This Row],[Salary]]/JanReport19[[#This Row],[Days]]</f>
        <v>645.16129032258061</v>
      </c>
      <c r="BC9" s="27">
        <f>JanReport19[[#This Row],[PerDaySalary]]*JanReport19[[#This Row],[Abesent]]</f>
        <v>0</v>
      </c>
      <c r="BD9" s="27">
        <f>JanReport19[[#This Row],[Salary]]-JanReport19[[#This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4</v>
      </c>
      <c r="I10" s="15" t="s">
        <v>41</v>
      </c>
      <c r="J10" s="15" t="s">
        <v>41</v>
      </c>
      <c r="K10" s="15" t="s">
        <v>41</v>
      </c>
      <c r="L10" s="45" t="s">
        <v>43</v>
      </c>
      <c r="M10" s="15" t="s">
        <v>41</v>
      </c>
      <c r="N10" s="15" t="str">
        <f t="shared" si="3"/>
        <v>WO</v>
      </c>
      <c r="O10" s="15" t="s">
        <v>41</v>
      </c>
      <c r="P10" s="15" t="s">
        <v>41</v>
      </c>
      <c r="Q10" s="15" t="s">
        <v>41</v>
      </c>
      <c r="R10" s="45" t="s">
        <v>43</v>
      </c>
      <c r="S10" s="15" t="s">
        <v>41</v>
      </c>
      <c r="T10" s="15" t="s">
        <v>43</v>
      </c>
      <c r="U10" s="15" t="str">
        <f t="shared" si="3"/>
        <v>WO</v>
      </c>
      <c r="V10" s="15" t="s">
        <v>41</v>
      </c>
      <c r="W10" s="15" t="s">
        <v>41</v>
      </c>
      <c r="X10" s="15" t="s">
        <v>41</v>
      </c>
      <c r="Y10" s="45" t="s">
        <v>43</v>
      </c>
      <c r="Z10" s="15" t="s">
        <v>41</v>
      </c>
      <c r="AA10" s="15" t="s">
        <v>41</v>
      </c>
      <c r="AB10" s="15" t="str">
        <f t="shared" si="4"/>
        <v>WO</v>
      </c>
      <c r="AC10" s="15" t="s">
        <v>41</v>
      </c>
      <c r="AD10" s="15" t="s">
        <v>41</v>
      </c>
      <c r="AE10" s="15" t="s">
        <v>43</v>
      </c>
      <c r="AF10" s="45" t="s">
        <v>43</v>
      </c>
      <c r="AG10" s="15" t="s">
        <v>41</v>
      </c>
      <c r="AH10" s="15" t="s">
        <v>41</v>
      </c>
      <c r="AI10" s="15" t="str">
        <f t="shared" si="4"/>
        <v>WO</v>
      </c>
      <c r="AJ10" s="15" t="s">
        <v>41</v>
      </c>
      <c r="AK10" s="45" t="s">
        <v>43</v>
      </c>
      <c r="AL10" s="15" t="s">
        <v>41</v>
      </c>
      <c r="AM10" s="16" t="s">
        <v>41</v>
      </c>
      <c r="AN10" s="41"/>
      <c r="AO10" s="41"/>
      <c r="AP10" s="30"/>
      <c r="AQ10" s="9">
        <v>4</v>
      </c>
      <c r="AR10" s="9" t="s">
        <v>6</v>
      </c>
      <c r="AS10" s="9" t="str">
        <f t="shared" si="5"/>
        <v>July</v>
      </c>
      <c r="AT10" s="10">
        <v>10004</v>
      </c>
      <c r="AU10" s="15">
        <f t="shared" si="6"/>
        <v>20</v>
      </c>
      <c r="AV10" s="15">
        <f t="shared" si="7"/>
        <v>0</v>
      </c>
      <c r="AW10" s="15">
        <f t="shared" si="8"/>
        <v>7</v>
      </c>
      <c r="AX10" s="15">
        <f t="shared" si="9"/>
        <v>4</v>
      </c>
      <c r="AY10" s="25">
        <f t="shared" si="10"/>
        <v>31</v>
      </c>
      <c r="AZ10" s="25">
        <f>JanReport19[[#This Row],[Days]]-JanReport19[[#This Row],[Abesent]]</f>
        <v>31</v>
      </c>
      <c r="BA10" s="26">
        <v>21000</v>
      </c>
      <c r="BB10" s="27">
        <f>JanReport19[[#This Row],[Salary]]/JanReport19[[#This Row],[Days]]</f>
        <v>677.41935483870964</v>
      </c>
      <c r="BC10" s="27">
        <f>JanReport19[[#This Row],[PerDaySalary]]*JanReport19[[#This Row],[Abesent]]</f>
        <v>0</v>
      </c>
      <c r="BD10" s="27">
        <f>JanReport19[[#This Row],[Salary]]-JanReport19[[#This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4</v>
      </c>
      <c r="I11" s="15" t="s">
        <v>41</v>
      </c>
      <c r="J11" s="15" t="s">
        <v>41</v>
      </c>
      <c r="K11" s="15" t="s">
        <v>41</v>
      </c>
      <c r="L11" s="15" t="s">
        <v>41</v>
      </c>
      <c r="M11" s="15" t="s">
        <v>41</v>
      </c>
      <c r="N11" s="15" t="str">
        <f t="shared" si="3"/>
        <v>WO</v>
      </c>
      <c r="O11" s="15" t="s">
        <v>41</v>
      </c>
      <c r="P11" s="15" t="s">
        <v>41</v>
      </c>
      <c r="Q11" s="15" t="s">
        <v>41</v>
      </c>
      <c r="R11" s="15" t="s">
        <v>41</v>
      </c>
      <c r="S11" s="15" t="s">
        <v>41</v>
      </c>
      <c r="T11" s="15" t="s">
        <v>43</v>
      </c>
      <c r="U11" s="15" t="str">
        <f t="shared" si="3"/>
        <v>WO</v>
      </c>
      <c r="V11" s="15" t="s">
        <v>41</v>
      </c>
      <c r="W11" s="15" t="s">
        <v>41</v>
      </c>
      <c r="X11" s="15" t="s">
        <v>41</v>
      </c>
      <c r="Y11" s="15" t="s">
        <v>41</v>
      </c>
      <c r="Z11" s="15" t="s">
        <v>41</v>
      </c>
      <c r="AA11" s="15" t="s">
        <v>41</v>
      </c>
      <c r="AB11" s="15" t="str">
        <f t="shared" si="4"/>
        <v>WO</v>
      </c>
      <c r="AC11" s="15" t="s">
        <v>41</v>
      </c>
      <c r="AD11" s="15" t="s">
        <v>41</v>
      </c>
      <c r="AE11" s="15" t="s">
        <v>43</v>
      </c>
      <c r="AF11" s="15" t="s">
        <v>41</v>
      </c>
      <c r="AG11" s="15" t="s">
        <v>41</v>
      </c>
      <c r="AH11" s="15" t="s">
        <v>41</v>
      </c>
      <c r="AI11" s="15" t="str">
        <f t="shared" si="4"/>
        <v>WO</v>
      </c>
      <c r="AJ11" s="15" t="s">
        <v>41</v>
      </c>
      <c r="AK11" s="15" t="s">
        <v>41</v>
      </c>
      <c r="AL11" s="15" t="s">
        <v>41</v>
      </c>
      <c r="AM11" s="16" t="s">
        <v>41</v>
      </c>
      <c r="AN11" s="41"/>
      <c r="AO11" s="41"/>
      <c r="AP11" s="30"/>
      <c r="AQ11" s="9">
        <v>5</v>
      </c>
      <c r="AR11" s="9" t="s">
        <v>7</v>
      </c>
      <c r="AS11" s="9" t="str">
        <f t="shared" si="5"/>
        <v>July</v>
      </c>
      <c r="AT11" s="10">
        <v>10005</v>
      </c>
      <c r="AU11" s="15">
        <f t="shared" si="6"/>
        <v>25</v>
      </c>
      <c r="AV11" s="15">
        <f t="shared" si="7"/>
        <v>0</v>
      </c>
      <c r="AW11" s="15">
        <f t="shared" si="8"/>
        <v>2</v>
      </c>
      <c r="AX11" s="15">
        <f t="shared" si="9"/>
        <v>4</v>
      </c>
      <c r="AY11" s="25">
        <f t="shared" si="10"/>
        <v>31</v>
      </c>
      <c r="AZ11" s="25">
        <f>JanReport19[[#This Row],[Days]]-JanReport19[[#This Row],[Abesent]]</f>
        <v>31</v>
      </c>
      <c r="BA11" s="26">
        <v>18000</v>
      </c>
      <c r="BB11" s="27">
        <f>JanReport19[[#This Row],[Salary]]/JanReport19[[#This Row],[Days]]</f>
        <v>580.64516129032256</v>
      </c>
      <c r="BC11" s="27">
        <f>JanReport19[[#This Row],[PerDaySalary]]*JanReport19[[#This Row],[Abesent]]</f>
        <v>0</v>
      </c>
      <c r="BD11" s="27">
        <f>JanReport19[[#This Row],[Salary]]-JanReport19[[#This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4</v>
      </c>
      <c r="I12" s="15" t="s">
        <v>41</v>
      </c>
      <c r="J12" s="15" t="s">
        <v>41</v>
      </c>
      <c r="K12" s="15" t="s">
        <v>41</v>
      </c>
      <c r="L12" s="15" t="s">
        <v>41</v>
      </c>
      <c r="M12" s="15" t="s">
        <v>41</v>
      </c>
      <c r="N12" s="15" t="str">
        <f t="shared" si="3"/>
        <v>WO</v>
      </c>
      <c r="O12" s="15" t="s">
        <v>41</v>
      </c>
      <c r="P12" s="15" t="s">
        <v>41</v>
      </c>
      <c r="Q12" s="15" t="s">
        <v>41</v>
      </c>
      <c r="R12" s="15" t="s">
        <v>41</v>
      </c>
      <c r="S12" s="15" t="s">
        <v>41</v>
      </c>
      <c r="T12" s="15" t="s">
        <v>43</v>
      </c>
      <c r="U12" s="15" t="str">
        <f t="shared" si="3"/>
        <v>WO</v>
      </c>
      <c r="V12" s="15" t="s">
        <v>41</v>
      </c>
      <c r="W12" s="15" t="s">
        <v>41</v>
      </c>
      <c r="X12" s="15" t="s">
        <v>41</v>
      </c>
      <c r="Y12" s="15" t="s">
        <v>41</v>
      </c>
      <c r="Z12" s="15" t="s">
        <v>41</v>
      </c>
      <c r="AA12" s="15" t="s">
        <v>41</v>
      </c>
      <c r="AB12" s="15" t="str">
        <f t="shared" si="4"/>
        <v>WO</v>
      </c>
      <c r="AC12" s="15" t="s">
        <v>41</v>
      </c>
      <c r="AD12" s="15" t="s">
        <v>41</v>
      </c>
      <c r="AE12" s="15" t="s">
        <v>43</v>
      </c>
      <c r="AF12" s="15" t="s">
        <v>41</v>
      </c>
      <c r="AG12" s="15" t="s">
        <v>41</v>
      </c>
      <c r="AH12" s="15" t="s">
        <v>41</v>
      </c>
      <c r="AI12" s="15" t="str">
        <f t="shared" si="4"/>
        <v>WO</v>
      </c>
      <c r="AJ12" s="15" t="s">
        <v>41</v>
      </c>
      <c r="AK12" s="15" t="s">
        <v>41</v>
      </c>
      <c r="AL12" s="15" t="s">
        <v>41</v>
      </c>
      <c r="AM12" s="16" t="s">
        <v>41</v>
      </c>
      <c r="AN12" s="41"/>
      <c r="AO12" s="41"/>
      <c r="AP12" s="30"/>
      <c r="AQ12" s="9">
        <v>6</v>
      </c>
      <c r="AR12" s="9" t="s">
        <v>8</v>
      </c>
      <c r="AS12" s="9" t="str">
        <f t="shared" si="5"/>
        <v>July</v>
      </c>
      <c r="AT12" s="10">
        <v>10006</v>
      </c>
      <c r="AU12" s="15">
        <f t="shared" si="6"/>
        <v>25</v>
      </c>
      <c r="AV12" s="15">
        <f t="shared" si="7"/>
        <v>0</v>
      </c>
      <c r="AW12" s="15">
        <f t="shared" si="8"/>
        <v>2</v>
      </c>
      <c r="AX12" s="15">
        <f t="shared" si="9"/>
        <v>4</v>
      </c>
      <c r="AY12" s="25">
        <f t="shared" si="10"/>
        <v>31</v>
      </c>
      <c r="AZ12" s="25">
        <f>JanReport19[[#This Row],[Days]]-JanReport19[[#This Row],[Abesent]]</f>
        <v>31</v>
      </c>
      <c r="BA12" s="26">
        <v>17000</v>
      </c>
      <c r="BB12" s="27">
        <f>JanReport19[[#This Row],[Salary]]/JanReport19[[#This Row],[Days]]</f>
        <v>548.38709677419354</v>
      </c>
      <c r="BC12" s="27">
        <f>JanReport19[[#This Row],[PerDaySalary]]*JanReport19[[#This Row],[Abesent]]</f>
        <v>0</v>
      </c>
      <c r="BD12" s="27">
        <f>JanReport19[[#This Row],[Salary]]-JanReport19[[#This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4</v>
      </c>
      <c r="I13" s="15" t="s">
        <v>41</v>
      </c>
      <c r="J13" s="15" t="s">
        <v>41</v>
      </c>
      <c r="K13" s="15" t="s">
        <v>42</v>
      </c>
      <c r="L13" s="15" t="s">
        <v>41</v>
      </c>
      <c r="M13" s="15" t="s">
        <v>41</v>
      </c>
      <c r="N13" s="15" t="str">
        <f t="shared" si="3"/>
        <v>WO</v>
      </c>
      <c r="O13" s="15" t="s">
        <v>41</v>
      </c>
      <c r="P13" s="15" t="s">
        <v>41</v>
      </c>
      <c r="Q13" s="15" t="s">
        <v>42</v>
      </c>
      <c r="R13" s="15" t="s">
        <v>41</v>
      </c>
      <c r="S13" s="15" t="s">
        <v>41</v>
      </c>
      <c r="T13" s="15" t="s">
        <v>43</v>
      </c>
      <c r="U13" s="15" t="str">
        <f t="shared" si="3"/>
        <v>WO</v>
      </c>
      <c r="V13" s="15" t="s">
        <v>41</v>
      </c>
      <c r="W13" s="15" t="s">
        <v>41</v>
      </c>
      <c r="X13" s="15" t="s">
        <v>42</v>
      </c>
      <c r="Y13" s="15" t="s">
        <v>41</v>
      </c>
      <c r="Z13" s="15" t="s">
        <v>41</v>
      </c>
      <c r="AA13" s="15" t="s">
        <v>41</v>
      </c>
      <c r="AB13" s="15" t="str">
        <f t="shared" si="4"/>
        <v>WO</v>
      </c>
      <c r="AC13" s="15" t="s">
        <v>41</v>
      </c>
      <c r="AD13" s="15" t="s">
        <v>41</v>
      </c>
      <c r="AE13" s="15" t="s">
        <v>43</v>
      </c>
      <c r="AF13" s="15" t="s">
        <v>41</v>
      </c>
      <c r="AG13" s="15" t="s">
        <v>41</v>
      </c>
      <c r="AH13" s="15" t="s">
        <v>41</v>
      </c>
      <c r="AI13" s="15" t="str">
        <f t="shared" si="4"/>
        <v>WO</v>
      </c>
      <c r="AJ13" s="15" t="s">
        <v>42</v>
      </c>
      <c r="AK13" s="15" t="s">
        <v>41</v>
      </c>
      <c r="AL13" s="15" t="s">
        <v>41</v>
      </c>
      <c r="AM13" s="16" t="s">
        <v>41</v>
      </c>
      <c r="AN13" s="41"/>
      <c r="AO13" s="41"/>
      <c r="AP13" s="30"/>
      <c r="AQ13" s="9">
        <v>7</v>
      </c>
      <c r="AR13" s="9" t="s">
        <v>9</v>
      </c>
      <c r="AS13" s="9" t="str">
        <f t="shared" si="5"/>
        <v>July</v>
      </c>
      <c r="AT13" s="10">
        <v>10007</v>
      </c>
      <c r="AU13" s="15">
        <f t="shared" si="6"/>
        <v>21</v>
      </c>
      <c r="AV13" s="15">
        <f t="shared" si="7"/>
        <v>4</v>
      </c>
      <c r="AW13" s="15">
        <f t="shared" si="8"/>
        <v>2</v>
      </c>
      <c r="AX13" s="15">
        <f t="shared" si="9"/>
        <v>4</v>
      </c>
      <c r="AY13" s="25">
        <f t="shared" si="10"/>
        <v>31</v>
      </c>
      <c r="AZ13" s="25">
        <f>JanReport19[[#This Row],[Days]]-JanReport19[[#This Row],[Abesent]]</f>
        <v>27</v>
      </c>
      <c r="BA13" s="26">
        <v>15000</v>
      </c>
      <c r="BB13" s="27">
        <f>JanReport19[[#This Row],[Salary]]/JanReport19[[#This Row],[Days]]</f>
        <v>483.87096774193549</v>
      </c>
      <c r="BC13" s="27">
        <f>JanReport19[[#This Row],[PerDaySalary]]*JanReport19[[#This Row],[Abesent]]</f>
        <v>1935.483870967742</v>
      </c>
      <c r="BD13" s="27">
        <f>JanReport19[[#This Row],[Salary]]-JanReport19[[#This Row],[Deduction]]</f>
        <v>13064.516129032258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4</v>
      </c>
      <c r="I14" s="15" t="s">
        <v>41</v>
      </c>
      <c r="J14" s="15" t="s">
        <v>41</v>
      </c>
      <c r="K14" s="15" t="s">
        <v>41</v>
      </c>
      <c r="L14" s="15" t="s">
        <v>41</v>
      </c>
      <c r="M14" s="15" t="s">
        <v>41</v>
      </c>
      <c r="N14" s="15" t="str">
        <f t="shared" si="3"/>
        <v>WO</v>
      </c>
      <c r="O14" s="15" t="s">
        <v>41</v>
      </c>
      <c r="P14" s="15" t="s">
        <v>41</v>
      </c>
      <c r="Q14" s="15" t="s">
        <v>41</v>
      </c>
      <c r="R14" s="15" t="s">
        <v>41</v>
      </c>
      <c r="S14" s="15" t="s">
        <v>41</v>
      </c>
      <c r="T14" s="15" t="s">
        <v>43</v>
      </c>
      <c r="U14" s="15" t="str">
        <f t="shared" si="3"/>
        <v>WO</v>
      </c>
      <c r="V14" s="15" t="s">
        <v>41</v>
      </c>
      <c r="W14" s="15" t="s">
        <v>41</v>
      </c>
      <c r="X14" s="15" t="s">
        <v>41</v>
      </c>
      <c r="Y14" s="15" t="s">
        <v>41</v>
      </c>
      <c r="Z14" s="15" t="s">
        <v>41</v>
      </c>
      <c r="AA14" s="15" t="s">
        <v>41</v>
      </c>
      <c r="AB14" s="15" t="str">
        <f t="shared" si="4"/>
        <v>WO</v>
      </c>
      <c r="AC14" s="15" t="s">
        <v>41</v>
      </c>
      <c r="AD14" s="15" t="s">
        <v>41</v>
      </c>
      <c r="AE14" s="15" t="s">
        <v>43</v>
      </c>
      <c r="AF14" s="15" t="s">
        <v>41</v>
      </c>
      <c r="AG14" s="15" t="s">
        <v>41</v>
      </c>
      <c r="AH14" s="15" t="s">
        <v>41</v>
      </c>
      <c r="AI14" s="15" t="str">
        <f t="shared" si="4"/>
        <v>WO</v>
      </c>
      <c r="AJ14" s="15" t="s">
        <v>41</v>
      </c>
      <c r="AK14" s="15" t="s">
        <v>41</v>
      </c>
      <c r="AL14" s="15" t="s">
        <v>41</v>
      </c>
      <c r="AM14" s="16" t="s">
        <v>41</v>
      </c>
      <c r="AN14" s="41"/>
      <c r="AO14" s="41"/>
      <c r="AP14" s="30"/>
      <c r="AQ14" s="9">
        <v>8</v>
      </c>
      <c r="AR14" s="9" t="s">
        <v>10</v>
      </c>
      <c r="AS14" s="9" t="str">
        <f t="shared" si="5"/>
        <v>July</v>
      </c>
      <c r="AT14" s="10">
        <v>10008</v>
      </c>
      <c r="AU14" s="15">
        <f t="shared" si="6"/>
        <v>25</v>
      </c>
      <c r="AV14" s="15">
        <f t="shared" si="7"/>
        <v>0</v>
      </c>
      <c r="AW14" s="15">
        <f t="shared" si="8"/>
        <v>2</v>
      </c>
      <c r="AX14" s="15">
        <f t="shared" si="9"/>
        <v>4</v>
      </c>
      <c r="AY14" s="25">
        <f t="shared" si="10"/>
        <v>31</v>
      </c>
      <c r="AZ14" s="25">
        <f>JanReport19[[#This Row],[Days]]-JanReport19[[#This Row],[Abesent]]</f>
        <v>31</v>
      </c>
      <c r="BA14" s="26">
        <v>21000</v>
      </c>
      <c r="BB14" s="27">
        <f>JanReport19[[#This Row],[Salary]]/JanReport19[[#This Row],[Days]]</f>
        <v>677.41935483870964</v>
      </c>
      <c r="BC14" s="27">
        <f>JanReport19[[#This Row],[PerDaySalary]]*JanReport19[[#This Row],[Abesent]]</f>
        <v>0</v>
      </c>
      <c r="BD14" s="27">
        <f>JanReport19[[#This Row],[Salary]]-JanReport19[[#This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4</v>
      </c>
      <c r="I15" s="15" t="s">
        <v>41</v>
      </c>
      <c r="J15" s="15" t="s">
        <v>41</v>
      </c>
      <c r="K15" s="15" t="s">
        <v>41</v>
      </c>
      <c r="L15" s="15" t="s">
        <v>41</v>
      </c>
      <c r="M15" s="15" t="s">
        <v>41</v>
      </c>
      <c r="N15" s="15" t="str">
        <f t="shared" si="3"/>
        <v>WO</v>
      </c>
      <c r="O15" s="15" t="s">
        <v>41</v>
      </c>
      <c r="P15" s="15" t="s">
        <v>41</v>
      </c>
      <c r="Q15" s="15" t="s">
        <v>41</v>
      </c>
      <c r="R15" s="15" t="s">
        <v>41</v>
      </c>
      <c r="S15" s="15" t="s">
        <v>41</v>
      </c>
      <c r="T15" s="15" t="s">
        <v>43</v>
      </c>
      <c r="U15" s="15" t="str">
        <f t="shared" si="3"/>
        <v>WO</v>
      </c>
      <c r="V15" s="15" t="s">
        <v>41</v>
      </c>
      <c r="W15" s="15" t="s">
        <v>41</v>
      </c>
      <c r="X15" s="15" t="s">
        <v>41</v>
      </c>
      <c r="Y15" s="15" t="s">
        <v>41</v>
      </c>
      <c r="Z15" s="15" t="s">
        <v>41</v>
      </c>
      <c r="AA15" s="15" t="s">
        <v>41</v>
      </c>
      <c r="AB15" s="15" t="str">
        <f t="shared" si="4"/>
        <v>WO</v>
      </c>
      <c r="AC15" s="15" t="s">
        <v>41</v>
      </c>
      <c r="AD15" s="15" t="s">
        <v>41</v>
      </c>
      <c r="AE15" s="15" t="s">
        <v>43</v>
      </c>
      <c r="AF15" s="15" t="s">
        <v>41</v>
      </c>
      <c r="AG15" s="15" t="s">
        <v>41</v>
      </c>
      <c r="AH15" s="15" t="s">
        <v>41</v>
      </c>
      <c r="AI15" s="15" t="str">
        <f t="shared" si="4"/>
        <v>WO</v>
      </c>
      <c r="AJ15" s="15" t="s">
        <v>41</v>
      </c>
      <c r="AK15" s="15" t="s">
        <v>41</v>
      </c>
      <c r="AL15" s="15" t="s">
        <v>41</v>
      </c>
      <c r="AM15" s="16" t="s">
        <v>41</v>
      </c>
      <c r="AN15" s="41"/>
      <c r="AO15" s="41"/>
      <c r="AP15" s="30"/>
      <c r="AQ15" s="9">
        <v>9</v>
      </c>
      <c r="AR15" s="9" t="s">
        <v>11</v>
      </c>
      <c r="AS15" s="9" t="str">
        <f t="shared" si="5"/>
        <v>July</v>
      </c>
      <c r="AT15" s="10">
        <v>10009</v>
      </c>
      <c r="AU15" s="15">
        <f t="shared" si="6"/>
        <v>25</v>
      </c>
      <c r="AV15" s="15">
        <f t="shared" si="7"/>
        <v>0</v>
      </c>
      <c r="AW15" s="15">
        <f t="shared" si="8"/>
        <v>2</v>
      </c>
      <c r="AX15" s="15">
        <f t="shared" si="9"/>
        <v>4</v>
      </c>
      <c r="AY15" s="25">
        <f t="shared" si="10"/>
        <v>31</v>
      </c>
      <c r="AZ15" s="25">
        <f>JanReport19[[#This Row],[Days]]-JanReport19[[#This Row],[Abesent]]</f>
        <v>31</v>
      </c>
      <c r="BA15" s="26">
        <v>22000</v>
      </c>
      <c r="BB15" s="27">
        <f>JanReport19[[#This Row],[Salary]]/JanReport19[[#This Row],[Days]]</f>
        <v>709.67741935483866</v>
      </c>
      <c r="BC15" s="27">
        <f>JanReport19[[#This Row],[PerDaySalary]]*JanReport19[[#This Row],[Abesent]]</f>
        <v>0</v>
      </c>
      <c r="BD15" s="27">
        <f>JanReport19[[#This Row],[Salary]]-JanReport19[[#This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4</v>
      </c>
      <c r="I16" s="15" t="s">
        <v>41</v>
      </c>
      <c r="J16" s="15" t="s">
        <v>41</v>
      </c>
      <c r="K16" s="15" t="s">
        <v>41</v>
      </c>
      <c r="L16" s="15" t="s">
        <v>41</v>
      </c>
      <c r="M16" s="15" t="s">
        <v>41</v>
      </c>
      <c r="N16" s="15" t="str">
        <f t="shared" si="3"/>
        <v>WO</v>
      </c>
      <c r="O16" s="15" t="s">
        <v>41</v>
      </c>
      <c r="P16" s="15" t="s">
        <v>41</v>
      </c>
      <c r="Q16" s="15" t="s">
        <v>41</v>
      </c>
      <c r="R16" s="15" t="s">
        <v>41</v>
      </c>
      <c r="S16" s="15" t="s">
        <v>41</v>
      </c>
      <c r="T16" s="15" t="s">
        <v>43</v>
      </c>
      <c r="U16" s="15" t="str">
        <f t="shared" si="3"/>
        <v>WO</v>
      </c>
      <c r="V16" s="15" t="s">
        <v>41</v>
      </c>
      <c r="W16" s="15" t="s">
        <v>41</v>
      </c>
      <c r="X16" s="15" t="s">
        <v>41</v>
      </c>
      <c r="Y16" s="15" t="s">
        <v>41</v>
      </c>
      <c r="Z16" s="15" t="s">
        <v>41</v>
      </c>
      <c r="AA16" s="15" t="s">
        <v>41</v>
      </c>
      <c r="AB16" s="15" t="str">
        <f t="shared" si="4"/>
        <v>WO</v>
      </c>
      <c r="AC16" s="15" t="s">
        <v>41</v>
      </c>
      <c r="AD16" s="15" t="s">
        <v>41</v>
      </c>
      <c r="AE16" s="15" t="s">
        <v>43</v>
      </c>
      <c r="AF16" s="15" t="s">
        <v>41</v>
      </c>
      <c r="AG16" s="15" t="s">
        <v>41</v>
      </c>
      <c r="AH16" s="15" t="s">
        <v>41</v>
      </c>
      <c r="AI16" s="15" t="str">
        <f t="shared" si="4"/>
        <v>WO</v>
      </c>
      <c r="AJ16" s="15" t="s">
        <v>41</v>
      </c>
      <c r="AK16" s="15" t="s">
        <v>41</v>
      </c>
      <c r="AL16" s="15" t="s">
        <v>41</v>
      </c>
      <c r="AM16" s="16" t="s">
        <v>41</v>
      </c>
      <c r="AN16" s="41"/>
      <c r="AO16" s="41"/>
      <c r="AP16" s="30"/>
      <c r="AQ16" s="9">
        <v>10</v>
      </c>
      <c r="AR16" s="9" t="s">
        <v>12</v>
      </c>
      <c r="AS16" s="9" t="str">
        <f t="shared" si="5"/>
        <v>July</v>
      </c>
      <c r="AT16" s="10">
        <v>10010</v>
      </c>
      <c r="AU16" s="15">
        <f t="shared" si="6"/>
        <v>25</v>
      </c>
      <c r="AV16" s="15">
        <f t="shared" si="7"/>
        <v>0</v>
      </c>
      <c r="AW16" s="15">
        <f t="shared" si="8"/>
        <v>2</v>
      </c>
      <c r="AX16" s="15">
        <f t="shared" si="9"/>
        <v>4</v>
      </c>
      <c r="AY16" s="25">
        <f t="shared" si="10"/>
        <v>31</v>
      </c>
      <c r="AZ16" s="25">
        <f>JanReport19[[#This Row],[Days]]-JanReport19[[#This Row],[Abesent]]</f>
        <v>31</v>
      </c>
      <c r="BA16" s="26">
        <v>25000</v>
      </c>
      <c r="BB16" s="27">
        <f>JanReport19[[#This Row],[Salary]]/JanReport19[[#This Row],[Days]]</f>
        <v>806.45161290322585</v>
      </c>
      <c r="BC16" s="27">
        <f>JanReport19[[#This Row],[PerDaySalary]]*JanReport19[[#This Row],[Abesent]]</f>
        <v>0</v>
      </c>
      <c r="BD16" s="27">
        <f>JanReport19[[#This Row],[Salary]]-JanReport19[[#This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4</v>
      </c>
      <c r="I17" s="15" t="s">
        <v>41</v>
      </c>
      <c r="J17" s="15" t="s">
        <v>41</v>
      </c>
      <c r="K17" s="15" t="s">
        <v>41</v>
      </c>
      <c r="L17" s="15" t="s">
        <v>41</v>
      </c>
      <c r="M17" s="15" t="s">
        <v>41</v>
      </c>
      <c r="N17" s="15" t="str">
        <f t="shared" si="3"/>
        <v>WO</v>
      </c>
      <c r="O17" s="15" t="s">
        <v>41</v>
      </c>
      <c r="P17" s="15" t="s">
        <v>41</v>
      </c>
      <c r="Q17" s="15" t="s">
        <v>41</v>
      </c>
      <c r="R17" s="15" t="s">
        <v>41</v>
      </c>
      <c r="S17" s="15" t="s">
        <v>41</v>
      </c>
      <c r="T17" s="15" t="s">
        <v>43</v>
      </c>
      <c r="U17" s="15" t="str">
        <f t="shared" si="3"/>
        <v>WO</v>
      </c>
      <c r="V17" s="15" t="s">
        <v>41</v>
      </c>
      <c r="W17" s="15" t="s">
        <v>41</v>
      </c>
      <c r="X17" s="15" t="s">
        <v>41</v>
      </c>
      <c r="Y17" s="15" t="s">
        <v>41</v>
      </c>
      <c r="Z17" s="15" t="s">
        <v>41</v>
      </c>
      <c r="AA17" s="15" t="s">
        <v>42</v>
      </c>
      <c r="AB17" s="15" t="str">
        <f t="shared" si="4"/>
        <v>WO</v>
      </c>
      <c r="AC17" s="15" t="s">
        <v>41</v>
      </c>
      <c r="AD17" s="15" t="s">
        <v>41</v>
      </c>
      <c r="AE17" s="15" t="s">
        <v>43</v>
      </c>
      <c r="AF17" s="15" t="s">
        <v>41</v>
      </c>
      <c r="AG17" s="15" t="s">
        <v>41</v>
      </c>
      <c r="AH17" s="15" t="s">
        <v>42</v>
      </c>
      <c r="AI17" s="15" t="str">
        <f t="shared" si="4"/>
        <v>WO</v>
      </c>
      <c r="AJ17" s="15" t="s">
        <v>41</v>
      </c>
      <c r="AK17" s="15" t="s">
        <v>41</v>
      </c>
      <c r="AL17" s="15" t="s">
        <v>41</v>
      </c>
      <c r="AM17" s="16" t="s">
        <v>42</v>
      </c>
      <c r="AN17" s="41"/>
      <c r="AO17" s="41"/>
      <c r="AP17" s="30"/>
      <c r="AQ17" s="9">
        <v>11</v>
      </c>
      <c r="AR17" s="9" t="s">
        <v>13</v>
      </c>
      <c r="AS17" s="9" t="str">
        <f t="shared" si="5"/>
        <v>July</v>
      </c>
      <c r="AT17" s="10">
        <v>10011</v>
      </c>
      <c r="AU17" s="15">
        <f t="shared" si="6"/>
        <v>22</v>
      </c>
      <c r="AV17" s="15">
        <f t="shared" si="7"/>
        <v>3</v>
      </c>
      <c r="AW17" s="15">
        <f t="shared" si="8"/>
        <v>2</v>
      </c>
      <c r="AX17" s="15">
        <f t="shared" si="9"/>
        <v>4</v>
      </c>
      <c r="AY17" s="25">
        <f t="shared" si="10"/>
        <v>31</v>
      </c>
      <c r="AZ17" s="25">
        <f>JanReport19[[#This Row],[Days]]-JanReport19[[#This Row],[Abesent]]</f>
        <v>28</v>
      </c>
      <c r="BA17" s="26">
        <v>15000</v>
      </c>
      <c r="BB17" s="27">
        <f>JanReport19[[#This Row],[Salary]]/JanReport19[[#This Row],[Days]]</f>
        <v>483.87096774193549</v>
      </c>
      <c r="BC17" s="27">
        <f>JanReport19[[#This Row],[PerDaySalary]]*JanReport19[[#This Row],[Abesent]]</f>
        <v>1451.6129032258063</v>
      </c>
      <c r="BD17" s="27">
        <f>JanReport19[[#This Row],[Salary]]-JanReport19[[#This Row],[Deduction]]</f>
        <v>13548.387096774193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4</v>
      </c>
      <c r="I18" s="15" t="s">
        <v>41</v>
      </c>
      <c r="J18" s="15" t="s">
        <v>41</v>
      </c>
      <c r="K18" s="15" t="s">
        <v>41</v>
      </c>
      <c r="L18" s="15" t="s">
        <v>41</v>
      </c>
      <c r="M18" s="15" t="s">
        <v>41</v>
      </c>
      <c r="N18" s="15" t="str">
        <f t="shared" si="3"/>
        <v>WO</v>
      </c>
      <c r="O18" s="15" t="s">
        <v>41</v>
      </c>
      <c r="P18" s="15" t="s">
        <v>41</v>
      </c>
      <c r="Q18" s="15" t="s">
        <v>41</v>
      </c>
      <c r="R18" s="15" t="s">
        <v>41</v>
      </c>
      <c r="S18" s="15" t="s">
        <v>41</v>
      </c>
      <c r="T18" s="15" t="s">
        <v>43</v>
      </c>
      <c r="U18" s="15" t="str">
        <f t="shared" si="3"/>
        <v>WO</v>
      </c>
      <c r="V18" s="15" t="s">
        <v>41</v>
      </c>
      <c r="W18" s="15" t="s">
        <v>41</v>
      </c>
      <c r="X18" s="15" t="s">
        <v>41</v>
      </c>
      <c r="Y18" s="15" t="s">
        <v>41</v>
      </c>
      <c r="Z18" s="15" t="s">
        <v>41</v>
      </c>
      <c r="AA18" s="15" t="s">
        <v>41</v>
      </c>
      <c r="AB18" s="15" t="str">
        <f t="shared" si="4"/>
        <v>WO</v>
      </c>
      <c r="AC18" s="15" t="s">
        <v>41</v>
      </c>
      <c r="AD18" s="15" t="s">
        <v>41</v>
      </c>
      <c r="AE18" s="15" t="s">
        <v>43</v>
      </c>
      <c r="AF18" s="15" t="s">
        <v>41</v>
      </c>
      <c r="AG18" s="15" t="s">
        <v>41</v>
      </c>
      <c r="AH18" s="15" t="s">
        <v>41</v>
      </c>
      <c r="AI18" s="15" t="str">
        <f t="shared" si="4"/>
        <v>WO</v>
      </c>
      <c r="AJ18" s="15" t="s">
        <v>41</v>
      </c>
      <c r="AK18" s="15" t="s">
        <v>41</v>
      </c>
      <c r="AL18" s="15" t="s">
        <v>41</v>
      </c>
      <c r="AM18" s="16" t="s">
        <v>41</v>
      </c>
      <c r="AN18" s="41"/>
      <c r="AO18" s="41"/>
      <c r="AP18" s="30"/>
      <c r="AQ18" s="9">
        <v>12</v>
      </c>
      <c r="AR18" s="9" t="s">
        <v>14</v>
      </c>
      <c r="AS18" s="9" t="str">
        <f t="shared" si="5"/>
        <v>July</v>
      </c>
      <c r="AT18" s="10">
        <v>10012</v>
      </c>
      <c r="AU18" s="15">
        <f t="shared" si="6"/>
        <v>25</v>
      </c>
      <c r="AV18" s="15">
        <f t="shared" si="7"/>
        <v>0</v>
      </c>
      <c r="AW18" s="15">
        <f t="shared" si="8"/>
        <v>2</v>
      </c>
      <c r="AX18" s="15">
        <f t="shared" si="9"/>
        <v>4</v>
      </c>
      <c r="AY18" s="25">
        <f t="shared" si="10"/>
        <v>31</v>
      </c>
      <c r="AZ18" s="25">
        <f>JanReport19[[#This Row],[Days]]-JanReport19[[#This Row],[Abesent]]</f>
        <v>31</v>
      </c>
      <c r="BA18" s="26">
        <v>19000</v>
      </c>
      <c r="BB18" s="27">
        <f>JanReport19[[#This Row],[Salary]]/JanReport19[[#This Row],[Days]]</f>
        <v>612.90322580645159</v>
      </c>
      <c r="BC18" s="27">
        <f>JanReport19[[#This Row],[PerDaySalary]]*JanReport19[[#This Row],[Abesent]]</f>
        <v>0</v>
      </c>
      <c r="BD18" s="27">
        <f>JanReport19[[#This Row],[Salary]]-JanReport19[[#This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4</v>
      </c>
      <c r="I19" s="15" t="s">
        <v>41</v>
      </c>
      <c r="J19" s="15" t="s">
        <v>41</v>
      </c>
      <c r="K19" s="15" t="s">
        <v>41</v>
      </c>
      <c r="L19" s="15" t="s">
        <v>41</v>
      </c>
      <c r="M19" s="15" t="s">
        <v>41</v>
      </c>
      <c r="N19" s="15" t="str">
        <f t="shared" si="3"/>
        <v>WO</v>
      </c>
      <c r="O19" s="15" t="s">
        <v>41</v>
      </c>
      <c r="P19" s="15" t="s">
        <v>41</v>
      </c>
      <c r="Q19" s="15" t="s">
        <v>41</v>
      </c>
      <c r="R19" s="15" t="s">
        <v>41</v>
      </c>
      <c r="S19" s="15" t="s">
        <v>41</v>
      </c>
      <c r="T19" s="15" t="s">
        <v>43</v>
      </c>
      <c r="U19" s="15" t="str">
        <f t="shared" si="3"/>
        <v>WO</v>
      </c>
      <c r="V19" s="15" t="s">
        <v>41</v>
      </c>
      <c r="W19" s="15" t="s">
        <v>41</v>
      </c>
      <c r="X19" s="15" t="s">
        <v>41</v>
      </c>
      <c r="Y19" s="15" t="s">
        <v>41</v>
      </c>
      <c r="Z19" s="15" t="s">
        <v>41</v>
      </c>
      <c r="AA19" s="15" t="s">
        <v>41</v>
      </c>
      <c r="AB19" s="15" t="str">
        <f t="shared" si="4"/>
        <v>WO</v>
      </c>
      <c r="AC19" s="15" t="s">
        <v>41</v>
      </c>
      <c r="AD19" s="15" t="s">
        <v>41</v>
      </c>
      <c r="AE19" s="15" t="s">
        <v>43</v>
      </c>
      <c r="AF19" s="15" t="s">
        <v>41</v>
      </c>
      <c r="AG19" s="15" t="s">
        <v>41</v>
      </c>
      <c r="AH19" s="15" t="s">
        <v>41</v>
      </c>
      <c r="AI19" s="15" t="str">
        <f t="shared" si="4"/>
        <v>WO</v>
      </c>
      <c r="AJ19" s="15" t="s">
        <v>41</v>
      </c>
      <c r="AK19" s="15" t="s">
        <v>41</v>
      </c>
      <c r="AL19" s="15" t="s">
        <v>41</v>
      </c>
      <c r="AM19" s="16" t="s">
        <v>41</v>
      </c>
      <c r="AN19" s="41"/>
      <c r="AO19" s="41"/>
      <c r="AP19" s="30"/>
      <c r="AQ19" s="9">
        <v>13</v>
      </c>
      <c r="AR19" s="9" t="s">
        <v>15</v>
      </c>
      <c r="AS19" s="9" t="str">
        <f t="shared" si="5"/>
        <v>July</v>
      </c>
      <c r="AT19" s="10">
        <v>10013</v>
      </c>
      <c r="AU19" s="15">
        <f t="shared" si="6"/>
        <v>25</v>
      </c>
      <c r="AV19" s="15">
        <f t="shared" si="7"/>
        <v>0</v>
      </c>
      <c r="AW19" s="15">
        <f t="shared" si="8"/>
        <v>2</v>
      </c>
      <c r="AX19" s="15">
        <f t="shared" si="9"/>
        <v>4</v>
      </c>
      <c r="AY19" s="25">
        <f t="shared" si="10"/>
        <v>31</v>
      </c>
      <c r="AZ19" s="25">
        <f>JanReport19[[#This Row],[Days]]-JanReport19[[#This Row],[Abesent]]</f>
        <v>31</v>
      </c>
      <c r="BA19" s="26">
        <v>20000</v>
      </c>
      <c r="BB19" s="27">
        <f>JanReport19[[#This Row],[Salary]]/JanReport19[[#This Row],[Days]]</f>
        <v>645.16129032258061</v>
      </c>
      <c r="BC19" s="27">
        <f>JanReport19[[#This Row],[PerDaySalary]]*JanReport19[[#This Row],[Abesent]]</f>
        <v>0</v>
      </c>
      <c r="BD19" s="27">
        <f>JanReport19[[#This Row],[Salary]]-JanReport19[[#This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4</v>
      </c>
      <c r="I20" s="15" t="s">
        <v>41</v>
      </c>
      <c r="J20" s="15" t="s">
        <v>41</v>
      </c>
      <c r="K20" s="15" t="s">
        <v>41</v>
      </c>
      <c r="L20" s="15" t="s">
        <v>41</v>
      </c>
      <c r="M20" s="15" t="s">
        <v>41</v>
      </c>
      <c r="N20" s="15" t="str">
        <f t="shared" si="3"/>
        <v>WO</v>
      </c>
      <c r="O20" s="15" t="s">
        <v>41</v>
      </c>
      <c r="P20" s="15" t="s">
        <v>41</v>
      </c>
      <c r="Q20" s="15" t="s">
        <v>41</v>
      </c>
      <c r="R20" s="15" t="s">
        <v>41</v>
      </c>
      <c r="S20" s="15" t="s">
        <v>41</v>
      </c>
      <c r="T20" s="15" t="s">
        <v>43</v>
      </c>
      <c r="U20" s="15" t="str">
        <f t="shared" si="3"/>
        <v>WO</v>
      </c>
      <c r="V20" s="15" t="s">
        <v>41</v>
      </c>
      <c r="W20" s="15" t="s">
        <v>41</v>
      </c>
      <c r="X20" s="15" t="s">
        <v>41</v>
      </c>
      <c r="Y20" s="15" t="s">
        <v>41</v>
      </c>
      <c r="Z20" s="15" t="s">
        <v>41</v>
      </c>
      <c r="AA20" s="15" t="s">
        <v>41</v>
      </c>
      <c r="AB20" s="15" t="str">
        <f t="shared" si="4"/>
        <v>WO</v>
      </c>
      <c r="AC20" s="15" t="s">
        <v>41</v>
      </c>
      <c r="AD20" s="15" t="s">
        <v>41</v>
      </c>
      <c r="AE20" s="15" t="s">
        <v>43</v>
      </c>
      <c r="AF20" s="15" t="s">
        <v>41</v>
      </c>
      <c r="AG20" s="15" t="s">
        <v>41</v>
      </c>
      <c r="AH20" s="15" t="s">
        <v>41</v>
      </c>
      <c r="AI20" s="15" t="str">
        <f t="shared" si="4"/>
        <v>WO</v>
      </c>
      <c r="AJ20" s="15" t="s">
        <v>41</v>
      </c>
      <c r="AK20" s="15" t="s">
        <v>41</v>
      </c>
      <c r="AL20" s="15" t="s">
        <v>41</v>
      </c>
      <c r="AM20" s="16" t="s">
        <v>41</v>
      </c>
      <c r="AN20" s="41"/>
      <c r="AO20" s="41"/>
      <c r="AP20" s="30"/>
      <c r="AQ20" s="9">
        <v>14</v>
      </c>
      <c r="AR20" s="9" t="s">
        <v>16</v>
      </c>
      <c r="AS20" s="9" t="str">
        <f t="shared" si="5"/>
        <v>July</v>
      </c>
      <c r="AT20" s="10">
        <v>10014</v>
      </c>
      <c r="AU20" s="15">
        <f t="shared" si="6"/>
        <v>25</v>
      </c>
      <c r="AV20" s="15">
        <f t="shared" si="7"/>
        <v>0</v>
      </c>
      <c r="AW20" s="15">
        <f t="shared" si="8"/>
        <v>2</v>
      </c>
      <c r="AX20" s="15">
        <f t="shared" si="9"/>
        <v>4</v>
      </c>
      <c r="AY20" s="25">
        <f t="shared" si="10"/>
        <v>31</v>
      </c>
      <c r="AZ20" s="25">
        <f>JanReport19[[#This Row],[Days]]-JanReport19[[#This Row],[Abesent]]</f>
        <v>31</v>
      </c>
      <c r="BA20" s="26">
        <v>19000</v>
      </c>
      <c r="BB20" s="27">
        <f>JanReport19[[#This Row],[Salary]]/JanReport19[[#This Row],[Days]]</f>
        <v>612.90322580645159</v>
      </c>
      <c r="BC20" s="27">
        <f>JanReport19[[#This Row],[PerDaySalary]]*JanReport19[[#This Row],[Abesent]]</f>
        <v>0</v>
      </c>
      <c r="BD20" s="27">
        <f>JanReport19[[#This Row],[Salary]]-JanReport19[[#This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4</v>
      </c>
      <c r="I21" s="15" t="s">
        <v>41</v>
      </c>
      <c r="J21" s="15" t="s">
        <v>41</v>
      </c>
      <c r="K21" s="15" t="s">
        <v>41</v>
      </c>
      <c r="L21" s="15" t="s">
        <v>41</v>
      </c>
      <c r="M21" s="15" t="s">
        <v>41</v>
      </c>
      <c r="N21" s="15" t="str">
        <f t="shared" si="3"/>
        <v>WO</v>
      </c>
      <c r="O21" s="15" t="s">
        <v>41</v>
      </c>
      <c r="P21" s="15" t="s">
        <v>41</v>
      </c>
      <c r="Q21" s="15" t="s">
        <v>41</v>
      </c>
      <c r="R21" s="15" t="s">
        <v>41</v>
      </c>
      <c r="S21" s="15" t="s">
        <v>41</v>
      </c>
      <c r="T21" s="15" t="s">
        <v>43</v>
      </c>
      <c r="U21" s="15" t="str">
        <f t="shared" si="3"/>
        <v>WO</v>
      </c>
      <c r="V21" s="15" t="s">
        <v>41</v>
      </c>
      <c r="W21" s="15" t="s">
        <v>41</v>
      </c>
      <c r="X21" s="15" t="s">
        <v>41</v>
      </c>
      <c r="Y21" s="15" t="s">
        <v>41</v>
      </c>
      <c r="Z21" s="15" t="s">
        <v>41</v>
      </c>
      <c r="AA21" s="15" t="s">
        <v>41</v>
      </c>
      <c r="AB21" s="15" t="str">
        <f t="shared" si="4"/>
        <v>WO</v>
      </c>
      <c r="AC21" s="15" t="s">
        <v>41</v>
      </c>
      <c r="AD21" s="15" t="s">
        <v>41</v>
      </c>
      <c r="AE21" s="15" t="s">
        <v>43</v>
      </c>
      <c r="AF21" s="15" t="s">
        <v>41</v>
      </c>
      <c r="AG21" s="15" t="s">
        <v>41</v>
      </c>
      <c r="AH21" s="15" t="s">
        <v>41</v>
      </c>
      <c r="AI21" s="15" t="str">
        <f t="shared" si="4"/>
        <v>WO</v>
      </c>
      <c r="AJ21" s="15" t="s">
        <v>41</v>
      </c>
      <c r="AK21" s="15" t="s">
        <v>41</v>
      </c>
      <c r="AL21" s="15" t="s">
        <v>41</v>
      </c>
      <c r="AM21" s="16" t="s">
        <v>41</v>
      </c>
      <c r="AN21" s="41"/>
      <c r="AO21" s="41"/>
      <c r="AP21" s="30"/>
      <c r="AQ21" s="9">
        <v>15</v>
      </c>
      <c r="AR21" s="9" t="s">
        <v>17</v>
      </c>
      <c r="AS21" s="9" t="str">
        <f t="shared" si="5"/>
        <v>July</v>
      </c>
      <c r="AT21" s="10">
        <v>10015</v>
      </c>
      <c r="AU21" s="15">
        <f t="shared" si="6"/>
        <v>25</v>
      </c>
      <c r="AV21" s="15">
        <f t="shared" si="7"/>
        <v>0</v>
      </c>
      <c r="AW21" s="15">
        <f t="shared" si="8"/>
        <v>2</v>
      </c>
      <c r="AX21" s="15">
        <f t="shared" si="9"/>
        <v>4</v>
      </c>
      <c r="AY21" s="25">
        <f t="shared" si="10"/>
        <v>31</v>
      </c>
      <c r="AZ21" s="25">
        <f>JanReport19[[#This Row],[Days]]-JanReport19[[#This Row],[Abesent]]</f>
        <v>31</v>
      </c>
      <c r="BA21" s="26">
        <v>25000</v>
      </c>
      <c r="BB21" s="27">
        <f>JanReport19[[#This Row],[Salary]]/JanReport19[[#This Row],[Days]]</f>
        <v>806.45161290322585</v>
      </c>
      <c r="BC21" s="27">
        <f>JanReport19[[#This Row],[PerDaySalary]]*JanReport19[[#This Row],[Abesent]]</f>
        <v>0</v>
      </c>
      <c r="BD21" s="27">
        <f>JanReport19[[#This Row],[Salary]]-JanReport19[[#This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4</v>
      </c>
      <c r="I22" s="15" t="s">
        <v>41</v>
      </c>
      <c r="J22" s="15" t="s">
        <v>41</v>
      </c>
      <c r="K22" s="15" t="s">
        <v>41</v>
      </c>
      <c r="L22" s="15" t="s">
        <v>42</v>
      </c>
      <c r="M22" s="15" t="s">
        <v>41</v>
      </c>
      <c r="N22" s="15" t="str">
        <f t="shared" si="3"/>
        <v>WO</v>
      </c>
      <c r="O22" s="15" t="s">
        <v>41</v>
      </c>
      <c r="P22" s="15" t="s">
        <v>41</v>
      </c>
      <c r="Q22" s="15" t="s">
        <v>41</v>
      </c>
      <c r="R22" s="15" t="s">
        <v>42</v>
      </c>
      <c r="S22" s="15" t="s">
        <v>41</v>
      </c>
      <c r="T22" s="15" t="s">
        <v>43</v>
      </c>
      <c r="U22" s="15" t="str">
        <f t="shared" si="3"/>
        <v>WO</v>
      </c>
      <c r="V22" s="15" t="s">
        <v>41</v>
      </c>
      <c r="W22" s="15" t="s">
        <v>41</v>
      </c>
      <c r="X22" s="15" t="s">
        <v>41</v>
      </c>
      <c r="Y22" s="15" t="s">
        <v>42</v>
      </c>
      <c r="Z22" s="15" t="s">
        <v>41</v>
      </c>
      <c r="AA22" s="15" t="s">
        <v>41</v>
      </c>
      <c r="AB22" s="15" t="str">
        <f t="shared" si="4"/>
        <v>WO</v>
      </c>
      <c r="AC22" s="15" t="s">
        <v>41</v>
      </c>
      <c r="AD22" s="15" t="s">
        <v>41</v>
      </c>
      <c r="AE22" s="15" t="s">
        <v>43</v>
      </c>
      <c r="AF22" s="15" t="s">
        <v>42</v>
      </c>
      <c r="AG22" s="15" t="s">
        <v>41</v>
      </c>
      <c r="AH22" s="15" t="s">
        <v>41</v>
      </c>
      <c r="AI22" s="15" t="str">
        <f t="shared" si="4"/>
        <v>WO</v>
      </c>
      <c r="AJ22" s="15" t="s">
        <v>41</v>
      </c>
      <c r="AK22" s="15" t="s">
        <v>42</v>
      </c>
      <c r="AL22" s="15" t="s">
        <v>41</v>
      </c>
      <c r="AM22" s="16" t="s">
        <v>41</v>
      </c>
      <c r="AN22" s="41"/>
      <c r="AO22" s="41"/>
      <c r="AP22" s="30"/>
      <c r="AQ22" s="9">
        <v>16</v>
      </c>
      <c r="AR22" s="9" t="s">
        <v>18</v>
      </c>
      <c r="AS22" s="9" t="str">
        <f t="shared" si="5"/>
        <v>July</v>
      </c>
      <c r="AT22" s="10">
        <v>10016</v>
      </c>
      <c r="AU22" s="15">
        <f t="shared" si="6"/>
        <v>20</v>
      </c>
      <c r="AV22" s="15">
        <f t="shared" si="7"/>
        <v>5</v>
      </c>
      <c r="AW22" s="15">
        <f t="shared" si="8"/>
        <v>2</v>
      </c>
      <c r="AX22" s="15">
        <f t="shared" si="9"/>
        <v>4</v>
      </c>
      <c r="AY22" s="25">
        <f t="shared" si="10"/>
        <v>31</v>
      </c>
      <c r="AZ22" s="25">
        <f>JanReport19[[#This Row],[Days]]-JanReport19[[#This Row],[Abesent]]</f>
        <v>26</v>
      </c>
      <c r="BA22" s="26">
        <v>32000</v>
      </c>
      <c r="BB22" s="27">
        <f>JanReport19[[#This Row],[Salary]]/JanReport19[[#This Row],[Days]]</f>
        <v>1032.258064516129</v>
      </c>
      <c r="BC22" s="27">
        <f>JanReport19[[#This Row],[PerDaySalary]]*JanReport19[[#This Row],[Abesent]]</f>
        <v>5161.2903225806449</v>
      </c>
      <c r="BD22" s="27">
        <f>JanReport19[[#This Row],[Salary]]-JanReport19[[#This Row],[Deduction]]</f>
        <v>26838.709677419356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4</v>
      </c>
      <c r="I23" s="15" t="s">
        <v>41</v>
      </c>
      <c r="J23" s="15" t="s">
        <v>41</v>
      </c>
      <c r="K23" s="15" t="s">
        <v>41</v>
      </c>
      <c r="L23" s="15" t="s">
        <v>41</v>
      </c>
      <c r="M23" s="15" t="s">
        <v>41</v>
      </c>
      <c r="N23" s="15" t="str">
        <f t="shared" ref="N23:U26" si="11">IF(N$5="Sun","WO","")</f>
        <v>WO</v>
      </c>
      <c r="O23" s="15" t="s">
        <v>41</v>
      </c>
      <c r="P23" s="15" t="s">
        <v>41</v>
      </c>
      <c r="Q23" s="15" t="s">
        <v>41</v>
      </c>
      <c r="R23" s="15" t="s">
        <v>41</v>
      </c>
      <c r="S23" s="15" t="s">
        <v>41</v>
      </c>
      <c r="T23" s="15" t="s">
        <v>43</v>
      </c>
      <c r="U23" s="15" t="str">
        <f t="shared" si="11"/>
        <v>WO</v>
      </c>
      <c r="V23" s="15" t="s">
        <v>41</v>
      </c>
      <c r="W23" s="15" t="s">
        <v>41</v>
      </c>
      <c r="X23" s="15" t="s">
        <v>41</v>
      </c>
      <c r="Y23" s="15" t="s">
        <v>41</v>
      </c>
      <c r="Z23" s="15" t="s">
        <v>41</v>
      </c>
      <c r="AA23" s="15" t="s">
        <v>41</v>
      </c>
      <c r="AB23" s="15" t="str">
        <f t="shared" ref="AB23:AI26" si="12">IF(AB$5="Sun","WO","")</f>
        <v>WO</v>
      </c>
      <c r="AC23" s="15" t="s">
        <v>41</v>
      </c>
      <c r="AD23" s="15" t="s">
        <v>41</v>
      </c>
      <c r="AE23" s="15" t="s">
        <v>43</v>
      </c>
      <c r="AF23" s="15" t="s">
        <v>41</v>
      </c>
      <c r="AG23" s="15" t="s">
        <v>41</v>
      </c>
      <c r="AH23" s="15" t="s">
        <v>41</v>
      </c>
      <c r="AI23" s="15" t="str">
        <f t="shared" si="12"/>
        <v>WO</v>
      </c>
      <c r="AJ23" s="15" t="s">
        <v>41</v>
      </c>
      <c r="AK23" s="15" t="s">
        <v>41</v>
      </c>
      <c r="AL23" s="15" t="s">
        <v>41</v>
      </c>
      <c r="AM23" s="16" t="s">
        <v>41</v>
      </c>
      <c r="AN23" s="41"/>
      <c r="AO23" s="41"/>
      <c r="AP23" s="30"/>
      <c r="AQ23" s="9">
        <v>17</v>
      </c>
      <c r="AR23" s="9" t="s">
        <v>19</v>
      </c>
      <c r="AS23" s="9" t="str">
        <f t="shared" si="5"/>
        <v>July</v>
      </c>
      <c r="AT23" s="10">
        <v>10017</v>
      </c>
      <c r="AU23" s="15">
        <f t="shared" si="6"/>
        <v>25</v>
      </c>
      <c r="AV23" s="15">
        <f t="shared" si="7"/>
        <v>0</v>
      </c>
      <c r="AW23" s="15">
        <f t="shared" si="8"/>
        <v>2</v>
      </c>
      <c r="AX23" s="15">
        <f t="shared" si="9"/>
        <v>4</v>
      </c>
      <c r="AY23" s="25">
        <f t="shared" si="10"/>
        <v>31</v>
      </c>
      <c r="AZ23" s="25">
        <f>JanReport19[[#This Row],[Days]]-JanReport19[[#This Row],[Abesent]]</f>
        <v>31</v>
      </c>
      <c r="BA23" s="26">
        <v>35000</v>
      </c>
      <c r="BB23" s="27">
        <f>JanReport19[[#This Row],[Salary]]/JanReport19[[#This Row],[Days]]</f>
        <v>1129.0322580645161</v>
      </c>
      <c r="BC23" s="27">
        <f>JanReport19[[#This Row],[PerDaySalary]]*JanReport19[[#This Row],[Abesent]]</f>
        <v>0</v>
      </c>
      <c r="BD23" s="27">
        <f>JanReport19[[#This Row],[Salary]]-JanReport19[[#This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4</v>
      </c>
      <c r="I24" s="15" t="s">
        <v>41</v>
      </c>
      <c r="J24" s="15" t="s">
        <v>41</v>
      </c>
      <c r="K24" s="15" t="s">
        <v>41</v>
      </c>
      <c r="L24" s="15" t="s">
        <v>41</v>
      </c>
      <c r="M24" s="15" t="s">
        <v>41</v>
      </c>
      <c r="N24" s="15" t="str">
        <f t="shared" si="11"/>
        <v>WO</v>
      </c>
      <c r="O24" s="15" t="s">
        <v>41</v>
      </c>
      <c r="P24" s="15" t="s">
        <v>41</v>
      </c>
      <c r="Q24" s="15" t="s">
        <v>41</v>
      </c>
      <c r="R24" s="15" t="s">
        <v>41</v>
      </c>
      <c r="S24" s="15" t="s">
        <v>41</v>
      </c>
      <c r="T24" s="15" t="s">
        <v>43</v>
      </c>
      <c r="U24" s="15" t="str">
        <f t="shared" si="11"/>
        <v>WO</v>
      </c>
      <c r="V24" s="15" t="s">
        <v>41</v>
      </c>
      <c r="W24" s="15" t="s">
        <v>41</v>
      </c>
      <c r="X24" s="15" t="s">
        <v>41</v>
      </c>
      <c r="Y24" s="15" t="s">
        <v>41</v>
      </c>
      <c r="Z24" s="15" t="s">
        <v>41</v>
      </c>
      <c r="AA24" s="15" t="s">
        <v>41</v>
      </c>
      <c r="AB24" s="15" t="str">
        <f t="shared" si="12"/>
        <v>WO</v>
      </c>
      <c r="AC24" s="15" t="s">
        <v>41</v>
      </c>
      <c r="AD24" s="15" t="s">
        <v>41</v>
      </c>
      <c r="AE24" s="15" t="s">
        <v>43</v>
      </c>
      <c r="AF24" s="15" t="s">
        <v>41</v>
      </c>
      <c r="AG24" s="15" t="s">
        <v>41</v>
      </c>
      <c r="AH24" s="15" t="s">
        <v>41</v>
      </c>
      <c r="AI24" s="15" t="str">
        <f t="shared" si="12"/>
        <v>WO</v>
      </c>
      <c r="AJ24" s="15" t="s">
        <v>41</v>
      </c>
      <c r="AK24" s="15" t="s">
        <v>41</v>
      </c>
      <c r="AL24" s="15" t="s">
        <v>41</v>
      </c>
      <c r="AM24" s="16" t="s">
        <v>41</v>
      </c>
      <c r="AN24" s="41"/>
      <c r="AO24" s="41"/>
      <c r="AP24" s="30"/>
      <c r="AQ24" s="9">
        <v>18</v>
      </c>
      <c r="AR24" s="9" t="s">
        <v>20</v>
      </c>
      <c r="AS24" s="9" t="str">
        <f t="shared" si="5"/>
        <v>July</v>
      </c>
      <c r="AT24" s="10">
        <v>10018</v>
      </c>
      <c r="AU24" s="15">
        <f t="shared" si="6"/>
        <v>25</v>
      </c>
      <c r="AV24" s="15">
        <f t="shared" si="7"/>
        <v>0</v>
      </c>
      <c r="AW24" s="15">
        <f t="shared" si="8"/>
        <v>2</v>
      </c>
      <c r="AX24" s="15">
        <f t="shared" si="9"/>
        <v>4</v>
      </c>
      <c r="AY24" s="25">
        <f t="shared" si="10"/>
        <v>31</v>
      </c>
      <c r="AZ24" s="25">
        <f>JanReport19[[#This Row],[Days]]-JanReport19[[#This Row],[Abesent]]</f>
        <v>31</v>
      </c>
      <c r="BA24" s="26">
        <v>28000</v>
      </c>
      <c r="BB24" s="27">
        <f>JanReport19[[#This Row],[Salary]]/JanReport19[[#This Row],[Days]]</f>
        <v>903.22580645161293</v>
      </c>
      <c r="BC24" s="27">
        <f>JanReport19[[#This Row],[PerDaySalary]]*JanReport19[[#This Row],[Abesent]]</f>
        <v>0</v>
      </c>
      <c r="BD24" s="27">
        <f>JanReport19[[#This Row],[Salary]]-JanReport19[[#This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4</v>
      </c>
      <c r="I25" s="15" t="s">
        <v>41</v>
      </c>
      <c r="J25" s="15" t="s">
        <v>41</v>
      </c>
      <c r="K25" s="15" t="s">
        <v>41</v>
      </c>
      <c r="L25" s="15" t="s">
        <v>41</v>
      </c>
      <c r="M25" s="15" t="s">
        <v>41</v>
      </c>
      <c r="N25" s="15" t="str">
        <f t="shared" si="11"/>
        <v>WO</v>
      </c>
      <c r="O25" s="15" t="s">
        <v>41</v>
      </c>
      <c r="P25" s="15" t="s">
        <v>41</v>
      </c>
      <c r="Q25" s="15" t="s">
        <v>41</v>
      </c>
      <c r="R25" s="15" t="s">
        <v>41</v>
      </c>
      <c r="S25" s="15" t="s">
        <v>41</v>
      </c>
      <c r="T25" s="15" t="s">
        <v>43</v>
      </c>
      <c r="U25" s="15" t="str">
        <f t="shared" si="11"/>
        <v>WO</v>
      </c>
      <c r="V25" s="15" t="s">
        <v>41</v>
      </c>
      <c r="W25" s="15" t="s">
        <v>41</v>
      </c>
      <c r="X25" s="15" t="s">
        <v>41</v>
      </c>
      <c r="Y25" s="15" t="s">
        <v>41</v>
      </c>
      <c r="Z25" s="15" t="s">
        <v>41</v>
      </c>
      <c r="AA25" s="15" t="s">
        <v>41</v>
      </c>
      <c r="AB25" s="15" t="str">
        <f t="shared" si="12"/>
        <v>WO</v>
      </c>
      <c r="AC25" s="15" t="s">
        <v>41</v>
      </c>
      <c r="AD25" s="15" t="s">
        <v>41</v>
      </c>
      <c r="AE25" s="15" t="s">
        <v>43</v>
      </c>
      <c r="AF25" s="15" t="s">
        <v>41</v>
      </c>
      <c r="AG25" s="15" t="s">
        <v>41</v>
      </c>
      <c r="AH25" s="15" t="s">
        <v>41</v>
      </c>
      <c r="AI25" s="15" t="str">
        <f t="shared" si="12"/>
        <v>WO</v>
      </c>
      <c r="AJ25" s="15" t="s">
        <v>41</v>
      </c>
      <c r="AK25" s="15" t="s">
        <v>41</v>
      </c>
      <c r="AL25" s="15" t="s">
        <v>41</v>
      </c>
      <c r="AM25" s="16" t="s">
        <v>41</v>
      </c>
      <c r="AN25" s="41"/>
      <c r="AO25" s="41"/>
      <c r="AP25" s="30"/>
      <c r="AQ25" s="9">
        <v>19</v>
      </c>
      <c r="AR25" s="9" t="s">
        <v>21</v>
      </c>
      <c r="AS25" s="9" t="str">
        <f t="shared" si="5"/>
        <v>July</v>
      </c>
      <c r="AT25" s="10">
        <v>10019</v>
      </c>
      <c r="AU25" s="15">
        <f t="shared" si="6"/>
        <v>25</v>
      </c>
      <c r="AV25" s="15">
        <f t="shared" si="7"/>
        <v>0</v>
      </c>
      <c r="AW25" s="15">
        <f t="shared" si="8"/>
        <v>2</v>
      </c>
      <c r="AX25" s="15">
        <f t="shared" si="9"/>
        <v>4</v>
      </c>
      <c r="AY25" s="25">
        <f t="shared" si="10"/>
        <v>31</v>
      </c>
      <c r="AZ25" s="25">
        <f>JanReport19[[#This Row],[Days]]-JanReport19[[#This Row],[Abesent]]</f>
        <v>31</v>
      </c>
      <c r="BA25" s="26">
        <v>19000</v>
      </c>
      <c r="BB25" s="27">
        <f>JanReport19[[#This Row],[Salary]]/JanReport19[[#This Row],[Days]]</f>
        <v>612.90322580645159</v>
      </c>
      <c r="BC25" s="27">
        <f>JanReport19[[#This Row],[PerDaySalary]]*JanReport19[[#This Row],[Abesent]]</f>
        <v>0</v>
      </c>
      <c r="BD25" s="27">
        <f>JanReport19[[#This Row],[Salary]]-JanReport19[[#This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4</v>
      </c>
      <c r="I26" s="17" t="s">
        <v>41</v>
      </c>
      <c r="J26" s="17" t="s">
        <v>41</v>
      </c>
      <c r="K26" s="17" t="s">
        <v>41</v>
      </c>
      <c r="L26" s="17" t="s">
        <v>41</v>
      </c>
      <c r="M26" s="17" t="s">
        <v>41</v>
      </c>
      <c r="N26" s="17" t="str">
        <f t="shared" si="11"/>
        <v>WO</v>
      </c>
      <c r="O26" s="17" t="s">
        <v>41</v>
      </c>
      <c r="P26" s="17" t="s">
        <v>41</v>
      </c>
      <c r="Q26" s="17" t="s">
        <v>41</v>
      </c>
      <c r="R26" s="17" t="s">
        <v>41</v>
      </c>
      <c r="S26" s="17" t="s">
        <v>41</v>
      </c>
      <c r="T26" s="17" t="s">
        <v>43</v>
      </c>
      <c r="U26" s="17" t="str">
        <f t="shared" si="11"/>
        <v>WO</v>
      </c>
      <c r="V26" s="17" t="s">
        <v>41</v>
      </c>
      <c r="W26" s="17" t="s">
        <v>41</v>
      </c>
      <c r="X26" s="17" t="s">
        <v>41</v>
      </c>
      <c r="Y26" s="17" t="s">
        <v>41</v>
      </c>
      <c r="Z26" s="17" t="s">
        <v>41</v>
      </c>
      <c r="AA26" s="17" t="s">
        <v>41</v>
      </c>
      <c r="AB26" s="17" t="str">
        <f t="shared" si="12"/>
        <v>WO</v>
      </c>
      <c r="AC26" s="17" t="s">
        <v>41</v>
      </c>
      <c r="AD26" s="17" t="s">
        <v>41</v>
      </c>
      <c r="AE26" s="17" t="s">
        <v>43</v>
      </c>
      <c r="AF26" s="17" t="s">
        <v>41</v>
      </c>
      <c r="AG26" s="17" t="s">
        <v>41</v>
      </c>
      <c r="AH26" s="17" t="s">
        <v>41</v>
      </c>
      <c r="AI26" s="17" t="str">
        <f t="shared" si="12"/>
        <v>WO</v>
      </c>
      <c r="AJ26" s="17" t="s">
        <v>41</v>
      </c>
      <c r="AK26" s="17" t="s">
        <v>41</v>
      </c>
      <c r="AL26" s="17" t="s">
        <v>41</v>
      </c>
      <c r="AM26" s="18" t="s">
        <v>41</v>
      </c>
      <c r="AN26" s="41"/>
      <c r="AO26" s="41"/>
      <c r="AP26" s="30"/>
      <c r="AQ26" s="9">
        <v>20</v>
      </c>
      <c r="AR26" s="9" t="s">
        <v>22</v>
      </c>
      <c r="AS26" s="9" t="str">
        <f t="shared" si="5"/>
        <v>July</v>
      </c>
      <c r="AT26" s="10">
        <v>10020</v>
      </c>
      <c r="AU26" s="15">
        <f t="shared" si="6"/>
        <v>25</v>
      </c>
      <c r="AV26" s="15">
        <f t="shared" si="7"/>
        <v>0</v>
      </c>
      <c r="AW26" s="15">
        <f t="shared" si="8"/>
        <v>2</v>
      </c>
      <c r="AX26" s="15">
        <f t="shared" si="9"/>
        <v>4</v>
      </c>
      <c r="AY26" s="25">
        <f t="shared" si="10"/>
        <v>31</v>
      </c>
      <c r="AZ26" s="25">
        <f>JanReport19[[#This Row],[Days]]-JanReport19[[#This Row],[Abesent]]</f>
        <v>31</v>
      </c>
      <c r="BA26" s="26">
        <v>20000</v>
      </c>
      <c r="BB26" s="27">
        <f>JanReport19[[#This Row],[Salary]]/JanReport19[[#This Row],[Days]]</f>
        <v>645.16129032258061</v>
      </c>
      <c r="BC26" s="27">
        <f>JanReport19[[#This Row],[PerDaySalary]]*JanReport19[[#This Row],[Abesent]]</f>
        <v>0</v>
      </c>
      <c r="BD26" s="27">
        <f>JanReport19[[#This Row],[Salary]]-JanReport19[[#This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23" priority="1" operator="containsText" text="L">
      <formula>NOT(ISERROR(SEARCH("L",I7)))</formula>
    </cfRule>
    <cfRule type="containsText" dxfId="22" priority="2" operator="containsText" text="A">
      <formula>NOT(ISERROR(SEARCH("A",I7)))</formula>
    </cfRule>
    <cfRule type="containsText" dxfId="21" priority="3" operator="containsText" text="P">
      <formula>NOT(ISERROR(SEARCH("P",I7)))</formula>
    </cfRule>
    <cfRule type="containsText" dxfId="20" priority="4" operator="containsText" text="WO">
      <formula>NOT(ISERROR(SEARCH("WO",I7)))</formula>
    </cfRule>
  </conditionalFormatting>
  <dataValidations count="1">
    <dataValidation type="list" allowBlank="1" showInputMessage="1" showErrorMessage="1" sqref="AJ7:AM26 AC7:AH26 O7:T26 V7:AA26 I7:M26" xr:uid="{E0FEE019-566F-47D4-BF84-15EA5C380A69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9DE0EE-FBA6-4F19-92F8-C7DBD69F1D60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7A3393E-0B97-4196-A926-971429F53C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Jul!AU7:AW7</xm:f>
              <xm:sqref>BE7</xm:sqref>
            </x14:sparkline>
            <x14:sparkline>
              <xm:f>Jul!AU8:AW8</xm:f>
              <xm:sqref>BE8</xm:sqref>
            </x14:sparkline>
            <x14:sparkline>
              <xm:f>Jul!AU9:AW9</xm:f>
              <xm:sqref>BE9</xm:sqref>
            </x14:sparkline>
            <x14:sparkline>
              <xm:f>Jul!AU10:AW10</xm:f>
              <xm:sqref>BE10</xm:sqref>
            </x14:sparkline>
            <x14:sparkline>
              <xm:f>Jul!AU11:AW11</xm:f>
              <xm:sqref>BE11</xm:sqref>
            </x14:sparkline>
            <x14:sparkline>
              <xm:f>Jul!AU12:AW12</xm:f>
              <xm:sqref>BE12</xm:sqref>
            </x14:sparkline>
            <x14:sparkline>
              <xm:f>Jul!AU13:AW13</xm:f>
              <xm:sqref>BE13</xm:sqref>
            </x14:sparkline>
            <x14:sparkline>
              <xm:f>Jul!AU14:AW14</xm:f>
              <xm:sqref>BE14</xm:sqref>
            </x14:sparkline>
            <x14:sparkline>
              <xm:f>Jul!AU15:AW15</xm:f>
              <xm:sqref>BE15</xm:sqref>
            </x14:sparkline>
            <x14:sparkline>
              <xm:f>Jul!AU16:AW16</xm:f>
              <xm:sqref>BE16</xm:sqref>
            </x14:sparkline>
            <x14:sparkline>
              <xm:f>Jul!AU17:AW17</xm:f>
              <xm:sqref>BE17</xm:sqref>
            </x14:sparkline>
            <x14:sparkline>
              <xm:f>Jul!AU18:AW18</xm:f>
              <xm:sqref>BE18</xm:sqref>
            </x14:sparkline>
            <x14:sparkline>
              <xm:f>Jul!AU19:AW19</xm:f>
              <xm:sqref>BE19</xm:sqref>
            </x14:sparkline>
            <x14:sparkline>
              <xm:f>Jul!AU20:AW20</xm:f>
              <xm:sqref>BE20</xm:sqref>
            </x14:sparkline>
            <x14:sparkline>
              <xm:f>Jul!AU21:AW21</xm:f>
              <xm:sqref>BE21</xm:sqref>
            </x14:sparkline>
            <x14:sparkline>
              <xm:f>Jul!AU22:AW22</xm:f>
              <xm:sqref>BE22</xm:sqref>
            </x14:sparkline>
            <x14:sparkline>
              <xm:f>Jul!AU23:AW23</xm:f>
              <xm:sqref>BE23</xm:sqref>
            </x14:sparkline>
            <x14:sparkline>
              <xm:f>Jul!AU24:AW24</xm:f>
              <xm:sqref>BE24</xm:sqref>
            </x14:sparkline>
            <x14:sparkline>
              <xm:f>Jul!AU25:AW25</xm:f>
              <xm:sqref>BE25</xm:sqref>
            </x14:sparkline>
            <x14:sparkline>
              <xm:f>Jul!AU26:AW26</xm:f>
              <xm:sqref>BE26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D4A3-FB37-472D-8698-9F732587D975}">
  <dimension ref="A1:BI32"/>
  <sheetViews>
    <sheetView zoomScaleNormal="100" workbookViewId="0"/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45870</v>
      </c>
      <c r="G4" s="42" t="str">
        <f>TEXT(F4,"MMMM")</f>
        <v>August</v>
      </c>
      <c r="H4" s="44">
        <f>(DATEDIF(F4,J4,"D"))+1</f>
        <v>31</v>
      </c>
      <c r="I4" s="42" t="s">
        <v>26</v>
      </c>
      <c r="J4" s="47">
        <f>EOMONTH(F4,0)</f>
        <v>45900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Fri</v>
      </c>
      <c r="J5" s="13" t="str">
        <f t="shared" ref="J5:AM5" si="0">TEXT(J6,"ddd")</f>
        <v>Sat</v>
      </c>
      <c r="K5" s="13" t="str">
        <f t="shared" si="0"/>
        <v>Sun</v>
      </c>
      <c r="L5" s="13" t="str">
        <f t="shared" si="0"/>
        <v>Mon</v>
      </c>
      <c r="M5" s="13" t="str">
        <f t="shared" si="0"/>
        <v>Tue</v>
      </c>
      <c r="N5" s="13" t="str">
        <f t="shared" si="0"/>
        <v>Wed</v>
      </c>
      <c r="O5" s="13" t="str">
        <f t="shared" si="0"/>
        <v>Thu</v>
      </c>
      <c r="P5" s="13" t="str">
        <f t="shared" si="0"/>
        <v>Fri</v>
      </c>
      <c r="Q5" s="13" t="str">
        <f t="shared" si="0"/>
        <v>Sat</v>
      </c>
      <c r="R5" s="13" t="str">
        <f t="shared" si="0"/>
        <v>Sun</v>
      </c>
      <c r="S5" s="13" t="str">
        <f t="shared" si="0"/>
        <v>Mon</v>
      </c>
      <c r="T5" s="13" t="str">
        <f t="shared" si="0"/>
        <v>Tue</v>
      </c>
      <c r="U5" s="13" t="str">
        <f t="shared" si="0"/>
        <v>Wed</v>
      </c>
      <c r="V5" s="13" t="str">
        <f t="shared" si="0"/>
        <v>Thu</v>
      </c>
      <c r="W5" s="13" t="str">
        <f t="shared" si="0"/>
        <v>Fri</v>
      </c>
      <c r="X5" s="13" t="str">
        <f t="shared" si="0"/>
        <v>Sat</v>
      </c>
      <c r="Y5" s="13" t="str">
        <f t="shared" si="0"/>
        <v>Sun</v>
      </c>
      <c r="Z5" s="13" t="str">
        <f t="shared" si="0"/>
        <v>Mon</v>
      </c>
      <c r="AA5" s="13" t="str">
        <f t="shared" si="0"/>
        <v>Tue</v>
      </c>
      <c r="AB5" s="13" t="str">
        <f t="shared" si="0"/>
        <v>Wed</v>
      </c>
      <c r="AC5" s="13" t="str">
        <f t="shared" si="0"/>
        <v>Thu</v>
      </c>
      <c r="AD5" s="13" t="str">
        <f t="shared" si="0"/>
        <v>Fri</v>
      </c>
      <c r="AE5" s="13" t="str">
        <f t="shared" si="0"/>
        <v>Sat</v>
      </c>
      <c r="AF5" s="13" t="str">
        <f t="shared" si="0"/>
        <v>Sun</v>
      </c>
      <c r="AG5" s="13" t="str">
        <f t="shared" si="0"/>
        <v>Mon</v>
      </c>
      <c r="AH5" s="13" t="str">
        <f t="shared" si="0"/>
        <v>Tue</v>
      </c>
      <c r="AI5" s="13" t="str">
        <f t="shared" si="0"/>
        <v>Wed</v>
      </c>
      <c r="AJ5" s="13" t="str">
        <f t="shared" si="0"/>
        <v>Thu</v>
      </c>
      <c r="AK5" s="13" t="str">
        <f t="shared" si="0"/>
        <v>Fri</v>
      </c>
      <c r="AL5" s="13" t="str">
        <f t="shared" si="0"/>
        <v>Sat</v>
      </c>
      <c r="AM5" s="14" t="str">
        <f t="shared" si="0"/>
        <v>Sun</v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45870</v>
      </c>
      <c r="J6" s="34">
        <f>IF(I6&lt;$J$4,I6+1,"")</f>
        <v>45871</v>
      </c>
      <c r="K6" s="34">
        <f t="shared" ref="K6:AM6" si="1">IF(J6&lt;$J$4,J6+1,"")</f>
        <v>45872</v>
      </c>
      <c r="L6" s="34">
        <f t="shared" si="1"/>
        <v>45873</v>
      </c>
      <c r="M6" s="34">
        <f t="shared" si="1"/>
        <v>45874</v>
      </c>
      <c r="N6" s="34">
        <f t="shared" si="1"/>
        <v>45875</v>
      </c>
      <c r="O6" s="34">
        <f t="shared" si="1"/>
        <v>45876</v>
      </c>
      <c r="P6" s="34">
        <f t="shared" si="1"/>
        <v>45877</v>
      </c>
      <c r="Q6" s="34">
        <f t="shared" si="1"/>
        <v>45878</v>
      </c>
      <c r="R6" s="34">
        <f t="shared" si="1"/>
        <v>45879</v>
      </c>
      <c r="S6" s="34">
        <f t="shared" si="1"/>
        <v>45880</v>
      </c>
      <c r="T6" s="34">
        <f t="shared" si="1"/>
        <v>45881</v>
      </c>
      <c r="U6" s="34">
        <f t="shared" si="1"/>
        <v>45882</v>
      </c>
      <c r="V6" s="34">
        <f t="shared" si="1"/>
        <v>45883</v>
      </c>
      <c r="W6" s="34">
        <f t="shared" si="1"/>
        <v>45884</v>
      </c>
      <c r="X6" s="34">
        <f t="shared" si="1"/>
        <v>45885</v>
      </c>
      <c r="Y6" s="34">
        <f t="shared" si="1"/>
        <v>45886</v>
      </c>
      <c r="Z6" s="34">
        <f t="shared" si="1"/>
        <v>45887</v>
      </c>
      <c r="AA6" s="34">
        <f t="shared" si="1"/>
        <v>45888</v>
      </c>
      <c r="AB6" s="34">
        <f t="shared" si="1"/>
        <v>45889</v>
      </c>
      <c r="AC6" s="34">
        <f t="shared" si="1"/>
        <v>45890</v>
      </c>
      <c r="AD6" s="34">
        <f t="shared" si="1"/>
        <v>45891</v>
      </c>
      <c r="AE6" s="34">
        <f t="shared" si="1"/>
        <v>45892</v>
      </c>
      <c r="AF6" s="34">
        <f t="shared" si="1"/>
        <v>45893</v>
      </c>
      <c r="AG6" s="34">
        <f t="shared" si="1"/>
        <v>45894</v>
      </c>
      <c r="AH6" s="34">
        <f t="shared" si="1"/>
        <v>45895</v>
      </c>
      <c r="AI6" s="34">
        <f t="shared" si="1"/>
        <v>45896</v>
      </c>
      <c r="AJ6" s="34">
        <f t="shared" si="1"/>
        <v>45897</v>
      </c>
      <c r="AK6" s="34">
        <f t="shared" si="1"/>
        <v>45898</v>
      </c>
      <c r="AL6" s="34">
        <f t="shared" si="1"/>
        <v>45899</v>
      </c>
      <c r="AM6" s="36">
        <f t="shared" si="1"/>
        <v>45900</v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4</v>
      </c>
      <c r="I7" s="15" t="s">
        <v>41</v>
      </c>
      <c r="J7" s="15" t="s">
        <v>41</v>
      </c>
      <c r="K7" s="15" t="str">
        <f t="shared" ref="K7:R22" si="3">IF(K$5="Sun","WO","")</f>
        <v>WO</v>
      </c>
      <c r="L7" s="15" t="s">
        <v>41</v>
      </c>
      <c r="M7" s="15" t="s">
        <v>41</v>
      </c>
      <c r="N7" s="15" t="s">
        <v>41</v>
      </c>
      <c r="O7" s="15" t="s">
        <v>41</v>
      </c>
      <c r="P7" s="15" t="s">
        <v>41</v>
      </c>
      <c r="Q7" s="15" t="s">
        <v>41</v>
      </c>
      <c r="R7" s="15" t="str">
        <f t="shared" si="3"/>
        <v>WO</v>
      </c>
      <c r="S7" s="15" t="s">
        <v>41</v>
      </c>
      <c r="T7" s="15" t="s">
        <v>41</v>
      </c>
      <c r="U7" s="15" t="s">
        <v>41</v>
      </c>
      <c r="V7" s="15" t="s">
        <v>41</v>
      </c>
      <c r="W7" s="15" t="s">
        <v>41</v>
      </c>
      <c r="X7" s="15" t="s">
        <v>43</v>
      </c>
      <c r="Y7" s="15" t="str">
        <f t="shared" ref="Y7:AM22" si="4">IF(Y$5="Sun","WO","")</f>
        <v>WO</v>
      </c>
      <c r="Z7" s="15" t="s">
        <v>41</v>
      </c>
      <c r="AA7" s="15" t="s">
        <v>41</v>
      </c>
      <c r="AB7" s="15" t="s">
        <v>41</v>
      </c>
      <c r="AC7" s="15" t="s">
        <v>41</v>
      </c>
      <c r="AD7" s="15" t="s">
        <v>41</v>
      </c>
      <c r="AE7" s="15" t="s">
        <v>41</v>
      </c>
      <c r="AF7" s="15" t="str">
        <f t="shared" si="4"/>
        <v>WO</v>
      </c>
      <c r="AG7" s="15" t="s">
        <v>41</v>
      </c>
      <c r="AH7" s="15" t="s">
        <v>41</v>
      </c>
      <c r="AI7" s="15" t="s">
        <v>41</v>
      </c>
      <c r="AJ7" s="15" t="s">
        <v>41</v>
      </c>
      <c r="AK7" s="15" t="s">
        <v>41</v>
      </c>
      <c r="AL7" s="15" t="s">
        <v>41</v>
      </c>
      <c r="AM7" s="16" t="str">
        <f t="shared" si="4"/>
        <v>WO</v>
      </c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August</v>
      </c>
      <c r="AT7" s="7">
        <v>10001</v>
      </c>
      <c r="AU7" s="21">
        <f t="shared" ref="AU7:AU26" si="6">COUNTIF($I7:$AM7,"P")</f>
        <v>25</v>
      </c>
      <c r="AV7" s="21">
        <f t="shared" ref="AV7:AV26" si="7">COUNTIF($I7:$AM7,"A")</f>
        <v>0</v>
      </c>
      <c r="AW7" s="21">
        <f t="shared" ref="AW7:AW26" si="8">COUNTIF($I7:$AM7,"L")</f>
        <v>1</v>
      </c>
      <c r="AX7" s="21">
        <f t="shared" ref="AX7:AX26" si="9">$H$7</f>
        <v>4</v>
      </c>
      <c r="AY7" s="22">
        <f t="shared" ref="AY7:AY26" si="10">$H$4</f>
        <v>31</v>
      </c>
      <c r="AZ7" s="22">
        <f>JanReport20[[#This Row],[Days]]-JanReport20[[#This Row],[Abesent]]</f>
        <v>31</v>
      </c>
      <c r="BA7" s="23">
        <v>10000</v>
      </c>
      <c r="BB7" s="24">
        <f>JanReport20[[#This Row],[Salary]]/JanReport20[[#This Row],[Days]]</f>
        <v>322.58064516129031</v>
      </c>
      <c r="BC7" s="24">
        <f>JanReport20[[#This Row],[PerDaySalary]]*JanReport20[[#This Row],[Abesent]]</f>
        <v>0</v>
      </c>
      <c r="BD7" s="24">
        <f>JanReport20[[#This Row],[Salary]]-JanReport20[[#This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4</v>
      </c>
      <c r="I8" s="15" t="s">
        <v>41</v>
      </c>
      <c r="J8" s="15" t="s">
        <v>41</v>
      </c>
      <c r="K8" s="15" t="str">
        <f t="shared" si="3"/>
        <v>WO</v>
      </c>
      <c r="L8" s="15" t="s">
        <v>41</v>
      </c>
      <c r="M8" s="15" t="s">
        <v>41</v>
      </c>
      <c r="N8" s="15" t="s">
        <v>41</v>
      </c>
      <c r="O8" s="15" t="s">
        <v>41</v>
      </c>
      <c r="P8" s="15" t="s">
        <v>41</v>
      </c>
      <c r="Q8" s="15" t="s">
        <v>41</v>
      </c>
      <c r="R8" s="15" t="str">
        <f t="shared" si="3"/>
        <v>WO</v>
      </c>
      <c r="S8" s="15" t="s">
        <v>41</v>
      </c>
      <c r="T8" s="15" t="s">
        <v>41</v>
      </c>
      <c r="U8" s="15" t="s">
        <v>41</v>
      </c>
      <c r="V8" s="15" t="s">
        <v>41</v>
      </c>
      <c r="W8" s="15" t="s">
        <v>41</v>
      </c>
      <c r="X8" s="15" t="s">
        <v>43</v>
      </c>
      <c r="Y8" s="15" t="str">
        <f t="shared" si="4"/>
        <v>WO</v>
      </c>
      <c r="Z8" s="15" t="s">
        <v>41</v>
      </c>
      <c r="AA8" s="15" t="s">
        <v>41</v>
      </c>
      <c r="AB8" s="15" t="s">
        <v>41</v>
      </c>
      <c r="AC8" s="15" t="s">
        <v>41</v>
      </c>
      <c r="AD8" s="15" t="s">
        <v>41</v>
      </c>
      <c r="AE8" s="15" t="s">
        <v>41</v>
      </c>
      <c r="AF8" s="15" t="str">
        <f t="shared" si="4"/>
        <v>WO</v>
      </c>
      <c r="AG8" s="15" t="s">
        <v>41</v>
      </c>
      <c r="AH8" s="15" t="s">
        <v>41</v>
      </c>
      <c r="AI8" s="15" t="s">
        <v>41</v>
      </c>
      <c r="AJ8" s="15" t="s">
        <v>41</v>
      </c>
      <c r="AK8" s="15" t="s">
        <v>41</v>
      </c>
      <c r="AL8" s="15" t="s">
        <v>41</v>
      </c>
      <c r="AM8" s="16" t="str">
        <f t="shared" si="4"/>
        <v>WO</v>
      </c>
      <c r="AN8" s="41"/>
      <c r="AO8" s="41"/>
      <c r="AP8" s="31"/>
      <c r="AQ8" s="9">
        <v>2</v>
      </c>
      <c r="AR8" s="9" t="s">
        <v>4</v>
      </c>
      <c r="AS8" s="9" t="str">
        <f t="shared" si="5"/>
        <v>August</v>
      </c>
      <c r="AT8" s="10">
        <v>10002</v>
      </c>
      <c r="AU8" s="15">
        <f t="shared" si="6"/>
        <v>25</v>
      </c>
      <c r="AV8" s="15">
        <f t="shared" si="7"/>
        <v>0</v>
      </c>
      <c r="AW8" s="15">
        <f t="shared" si="8"/>
        <v>1</v>
      </c>
      <c r="AX8" s="15">
        <f t="shared" si="9"/>
        <v>4</v>
      </c>
      <c r="AY8" s="25">
        <f t="shared" si="10"/>
        <v>31</v>
      </c>
      <c r="AZ8" s="25">
        <f>JanReport20[[#This Row],[Days]]-JanReport20[[#This Row],[Abesent]]</f>
        <v>31</v>
      </c>
      <c r="BA8" s="26">
        <v>15000</v>
      </c>
      <c r="BB8" s="27">
        <f>JanReport20[[#This Row],[Salary]]/JanReport20[[#This Row],[Days]]</f>
        <v>483.87096774193549</v>
      </c>
      <c r="BC8" s="27">
        <f>JanReport20[[#This Row],[PerDaySalary]]*JanReport20[[#This Row],[Abesent]]</f>
        <v>0</v>
      </c>
      <c r="BD8" s="27">
        <f>JanReport20[[#This Row],[Salary]]-JanReport20[[#This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4</v>
      </c>
      <c r="I9" s="15" t="s">
        <v>41</v>
      </c>
      <c r="J9" s="15" t="s">
        <v>41</v>
      </c>
      <c r="K9" s="15" t="str">
        <f t="shared" si="3"/>
        <v>WO</v>
      </c>
      <c r="L9" s="15" t="s">
        <v>41</v>
      </c>
      <c r="M9" s="15" t="s">
        <v>41</v>
      </c>
      <c r="N9" s="15" t="s">
        <v>41</v>
      </c>
      <c r="O9" s="15" t="s">
        <v>41</v>
      </c>
      <c r="P9" s="15" t="s">
        <v>41</v>
      </c>
      <c r="Q9" s="15" t="s">
        <v>41</v>
      </c>
      <c r="R9" s="15" t="str">
        <f t="shared" si="3"/>
        <v>WO</v>
      </c>
      <c r="S9" s="15" t="s">
        <v>41</v>
      </c>
      <c r="T9" s="15" t="s">
        <v>41</v>
      </c>
      <c r="U9" s="15" t="s">
        <v>41</v>
      </c>
      <c r="V9" s="15" t="s">
        <v>41</v>
      </c>
      <c r="W9" s="15" t="s">
        <v>41</v>
      </c>
      <c r="X9" s="15" t="s">
        <v>43</v>
      </c>
      <c r="Y9" s="15" t="str">
        <f t="shared" si="4"/>
        <v>WO</v>
      </c>
      <c r="Z9" s="15" t="s">
        <v>41</v>
      </c>
      <c r="AA9" s="15" t="s">
        <v>41</v>
      </c>
      <c r="AB9" s="15" t="s">
        <v>41</v>
      </c>
      <c r="AC9" s="15" t="s">
        <v>41</v>
      </c>
      <c r="AD9" s="15" t="s">
        <v>41</v>
      </c>
      <c r="AE9" s="15" t="s">
        <v>41</v>
      </c>
      <c r="AF9" s="15" t="str">
        <f t="shared" si="4"/>
        <v>WO</v>
      </c>
      <c r="AG9" s="15" t="s">
        <v>41</v>
      </c>
      <c r="AH9" s="15" t="s">
        <v>41</v>
      </c>
      <c r="AI9" s="15" t="s">
        <v>41</v>
      </c>
      <c r="AJ9" s="15" t="s">
        <v>41</v>
      </c>
      <c r="AK9" s="15" t="s">
        <v>41</v>
      </c>
      <c r="AL9" s="15" t="s">
        <v>41</v>
      </c>
      <c r="AM9" s="16" t="str">
        <f t="shared" si="4"/>
        <v>WO</v>
      </c>
      <c r="AN9" s="41"/>
      <c r="AO9" s="41"/>
      <c r="AP9" s="30"/>
      <c r="AQ9" s="9">
        <v>3</v>
      </c>
      <c r="AR9" s="9" t="s">
        <v>5</v>
      </c>
      <c r="AS9" s="9" t="str">
        <f t="shared" si="5"/>
        <v>August</v>
      </c>
      <c r="AT9" s="10">
        <v>10003</v>
      </c>
      <c r="AU9" s="15">
        <f t="shared" si="6"/>
        <v>25</v>
      </c>
      <c r="AV9" s="15">
        <f t="shared" si="7"/>
        <v>0</v>
      </c>
      <c r="AW9" s="15">
        <f t="shared" si="8"/>
        <v>1</v>
      </c>
      <c r="AX9" s="15">
        <f t="shared" si="9"/>
        <v>4</v>
      </c>
      <c r="AY9" s="25">
        <f t="shared" si="10"/>
        <v>31</v>
      </c>
      <c r="AZ9" s="25">
        <f>JanReport20[[#This Row],[Days]]-JanReport20[[#This Row],[Abesent]]</f>
        <v>31</v>
      </c>
      <c r="BA9" s="26">
        <v>20000</v>
      </c>
      <c r="BB9" s="27">
        <f>JanReport20[[#This Row],[Salary]]/JanReport20[[#This Row],[Days]]</f>
        <v>645.16129032258061</v>
      </c>
      <c r="BC9" s="27">
        <f>JanReport20[[#This Row],[PerDaySalary]]*JanReport20[[#This Row],[Abesent]]</f>
        <v>0</v>
      </c>
      <c r="BD9" s="27">
        <f>JanReport20[[#This Row],[Salary]]-JanReport20[[#This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4</v>
      </c>
      <c r="I10" s="15" t="s">
        <v>41</v>
      </c>
      <c r="J10" s="15" t="s">
        <v>41</v>
      </c>
      <c r="K10" s="15" t="str">
        <f t="shared" si="3"/>
        <v>WO</v>
      </c>
      <c r="L10" s="15" t="s">
        <v>41</v>
      </c>
      <c r="M10" s="15" t="s">
        <v>41</v>
      </c>
      <c r="N10" s="15" t="s">
        <v>41</v>
      </c>
      <c r="O10" s="45" t="s">
        <v>43</v>
      </c>
      <c r="P10" s="15" t="s">
        <v>41</v>
      </c>
      <c r="Q10" s="15" t="s">
        <v>41</v>
      </c>
      <c r="R10" s="15" t="str">
        <f t="shared" si="3"/>
        <v>WO</v>
      </c>
      <c r="S10" s="15" t="s">
        <v>41</v>
      </c>
      <c r="T10" s="15" t="s">
        <v>41</v>
      </c>
      <c r="U10" s="15" t="s">
        <v>41</v>
      </c>
      <c r="V10" s="45" t="s">
        <v>43</v>
      </c>
      <c r="W10" s="15" t="s">
        <v>41</v>
      </c>
      <c r="X10" s="15" t="s">
        <v>43</v>
      </c>
      <c r="Y10" s="15" t="str">
        <f t="shared" si="4"/>
        <v>WO</v>
      </c>
      <c r="Z10" s="15" t="s">
        <v>41</v>
      </c>
      <c r="AA10" s="15" t="s">
        <v>41</v>
      </c>
      <c r="AB10" s="15" t="s">
        <v>41</v>
      </c>
      <c r="AC10" s="45" t="s">
        <v>43</v>
      </c>
      <c r="AD10" s="15" t="s">
        <v>41</v>
      </c>
      <c r="AE10" s="15" t="s">
        <v>41</v>
      </c>
      <c r="AF10" s="15" t="str">
        <f t="shared" si="4"/>
        <v>WO</v>
      </c>
      <c r="AG10" s="15" t="s">
        <v>41</v>
      </c>
      <c r="AH10" s="15" t="s">
        <v>41</v>
      </c>
      <c r="AI10" s="15" t="s">
        <v>41</v>
      </c>
      <c r="AJ10" s="45" t="s">
        <v>43</v>
      </c>
      <c r="AK10" s="15" t="s">
        <v>41</v>
      </c>
      <c r="AL10" s="15" t="s">
        <v>41</v>
      </c>
      <c r="AM10" s="16" t="str">
        <f t="shared" si="4"/>
        <v>WO</v>
      </c>
      <c r="AN10" s="41"/>
      <c r="AO10" s="41"/>
      <c r="AP10" s="30"/>
      <c r="AQ10" s="9">
        <v>4</v>
      </c>
      <c r="AR10" s="9" t="s">
        <v>6</v>
      </c>
      <c r="AS10" s="9" t="str">
        <f t="shared" si="5"/>
        <v>August</v>
      </c>
      <c r="AT10" s="10">
        <v>10004</v>
      </c>
      <c r="AU10" s="15">
        <f t="shared" si="6"/>
        <v>21</v>
      </c>
      <c r="AV10" s="15">
        <f t="shared" si="7"/>
        <v>0</v>
      </c>
      <c r="AW10" s="15">
        <f t="shared" si="8"/>
        <v>5</v>
      </c>
      <c r="AX10" s="15">
        <f t="shared" si="9"/>
        <v>4</v>
      </c>
      <c r="AY10" s="25">
        <f t="shared" si="10"/>
        <v>31</v>
      </c>
      <c r="AZ10" s="25">
        <f>JanReport20[[#This Row],[Days]]-JanReport20[[#This Row],[Abesent]]</f>
        <v>31</v>
      </c>
      <c r="BA10" s="26">
        <v>21000</v>
      </c>
      <c r="BB10" s="27">
        <f>JanReport20[[#This Row],[Salary]]/JanReport20[[#This Row],[Days]]</f>
        <v>677.41935483870964</v>
      </c>
      <c r="BC10" s="27">
        <f>JanReport20[[#This Row],[PerDaySalary]]*JanReport20[[#This Row],[Abesent]]</f>
        <v>0</v>
      </c>
      <c r="BD10" s="27">
        <f>JanReport20[[#This Row],[Salary]]-JanReport20[[#This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4</v>
      </c>
      <c r="I11" s="15" t="s">
        <v>41</v>
      </c>
      <c r="J11" s="15" t="s">
        <v>41</v>
      </c>
      <c r="K11" s="15" t="str">
        <f t="shared" si="3"/>
        <v>WO</v>
      </c>
      <c r="L11" s="15" t="s">
        <v>41</v>
      </c>
      <c r="M11" s="15" t="s">
        <v>41</v>
      </c>
      <c r="N11" s="15" t="s">
        <v>41</v>
      </c>
      <c r="O11" s="15" t="s">
        <v>41</v>
      </c>
      <c r="P11" s="15" t="s">
        <v>41</v>
      </c>
      <c r="Q11" s="15" t="s">
        <v>41</v>
      </c>
      <c r="R11" s="15" t="str">
        <f t="shared" si="3"/>
        <v>WO</v>
      </c>
      <c r="S11" s="15" t="s">
        <v>41</v>
      </c>
      <c r="T11" s="15" t="s">
        <v>41</v>
      </c>
      <c r="U11" s="15" t="s">
        <v>41</v>
      </c>
      <c r="V11" s="15" t="s">
        <v>41</v>
      </c>
      <c r="W11" s="15" t="s">
        <v>41</v>
      </c>
      <c r="X11" s="15" t="s">
        <v>43</v>
      </c>
      <c r="Y11" s="15" t="str">
        <f t="shared" si="4"/>
        <v>WO</v>
      </c>
      <c r="Z11" s="15" t="s">
        <v>41</v>
      </c>
      <c r="AA11" s="15" t="s">
        <v>41</v>
      </c>
      <c r="AB11" s="15" t="s">
        <v>41</v>
      </c>
      <c r="AC11" s="15" t="s">
        <v>41</v>
      </c>
      <c r="AD11" s="15" t="s">
        <v>41</v>
      </c>
      <c r="AE11" s="15" t="s">
        <v>41</v>
      </c>
      <c r="AF11" s="15" t="str">
        <f t="shared" si="4"/>
        <v>WO</v>
      </c>
      <c r="AG11" s="15" t="s">
        <v>41</v>
      </c>
      <c r="AH11" s="15" t="s">
        <v>41</v>
      </c>
      <c r="AI11" s="15" t="s">
        <v>41</v>
      </c>
      <c r="AJ11" s="15" t="s">
        <v>41</v>
      </c>
      <c r="AK11" s="15" t="s">
        <v>41</v>
      </c>
      <c r="AL11" s="15" t="s">
        <v>41</v>
      </c>
      <c r="AM11" s="16" t="str">
        <f t="shared" si="4"/>
        <v>WO</v>
      </c>
      <c r="AN11" s="41"/>
      <c r="AO11" s="41"/>
      <c r="AP11" s="30"/>
      <c r="AQ11" s="9">
        <v>5</v>
      </c>
      <c r="AR11" s="9" t="s">
        <v>7</v>
      </c>
      <c r="AS11" s="9" t="str">
        <f t="shared" si="5"/>
        <v>August</v>
      </c>
      <c r="AT11" s="10">
        <v>10005</v>
      </c>
      <c r="AU11" s="15">
        <f t="shared" si="6"/>
        <v>25</v>
      </c>
      <c r="AV11" s="15">
        <f t="shared" si="7"/>
        <v>0</v>
      </c>
      <c r="AW11" s="15">
        <f t="shared" si="8"/>
        <v>1</v>
      </c>
      <c r="AX11" s="15">
        <f t="shared" si="9"/>
        <v>4</v>
      </c>
      <c r="AY11" s="25">
        <f t="shared" si="10"/>
        <v>31</v>
      </c>
      <c r="AZ11" s="25">
        <f>JanReport20[[#This Row],[Days]]-JanReport20[[#This Row],[Abesent]]</f>
        <v>31</v>
      </c>
      <c r="BA11" s="26">
        <v>18000</v>
      </c>
      <c r="BB11" s="27">
        <f>JanReport20[[#This Row],[Salary]]/JanReport20[[#This Row],[Days]]</f>
        <v>580.64516129032256</v>
      </c>
      <c r="BC11" s="27">
        <f>JanReport20[[#This Row],[PerDaySalary]]*JanReport20[[#This Row],[Abesent]]</f>
        <v>0</v>
      </c>
      <c r="BD11" s="27">
        <f>JanReport20[[#This Row],[Salary]]-JanReport20[[#This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4</v>
      </c>
      <c r="I12" s="15" t="s">
        <v>41</v>
      </c>
      <c r="J12" s="15" t="s">
        <v>41</v>
      </c>
      <c r="K12" s="15" t="str">
        <f t="shared" si="3"/>
        <v>WO</v>
      </c>
      <c r="L12" s="15" t="s">
        <v>41</v>
      </c>
      <c r="M12" s="15" t="s">
        <v>41</v>
      </c>
      <c r="N12" s="15" t="s">
        <v>41</v>
      </c>
      <c r="O12" s="15" t="s">
        <v>41</v>
      </c>
      <c r="P12" s="15" t="s">
        <v>41</v>
      </c>
      <c r="Q12" s="15" t="s">
        <v>41</v>
      </c>
      <c r="R12" s="15" t="str">
        <f t="shared" si="3"/>
        <v>WO</v>
      </c>
      <c r="S12" s="15" t="s">
        <v>41</v>
      </c>
      <c r="T12" s="15" t="s">
        <v>41</v>
      </c>
      <c r="U12" s="15" t="s">
        <v>41</v>
      </c>
      <c r="V12" s="15" t="s">
        <v>41</v>
      </c>
      <c r="W12" s="15" t="s">
        <v>41</v>
      </c>
      <c r="X12" s="15" t="s">
        <v>43</v>
      </c>
      <c r="Y12" s="15" t="str">
        <f t="shared" si="4"/>
        <v>WO</v>
      </c>
      <c r="Z12" s="15" t="s">
        <v>41</v>
      </c>
      <c r="AA12" s="15" t="s">
        <v>41</v>
      </c>
      <c r="AB12" s="15" t="s">
        <v>41</v>
      </c>
      <c r="AC12" s="15" t="s">
        <v>41</v>
      </c>
      <c r="AD12" s="15" t="s">
        <v>41</v>
      </c>
      <c r="AE12" s="15" t="s">
        <v>41</v>
      </c>
      <c r="AF12" s="15" t="str">
        <f t="shared" si="4"/>
        <v>WO</v>
      </c>
      <c r="AG12" s="15" t="s">
        <v>41</v>
      </c>
      <c r="AH12" s="15" t="s">
        <v>41</v>
      </c>
      <c r="AI12" s="15" t="s">
        <v>41</v>
      </c>
      <c r="AJ12" s="15" t="s">
        <v>41</v>
      </c>
      <c r="AK12" s="15" t="s">
        <v>41</v>
      </c>
      <c r="AL12" s="15" t="s">
        <v>41</v>
      </c>
      <c r="AM12" s="16" t="str">
        <f t="shared" si="4"/>
        <v>WO</v>
      </c>
      <c r="AN12" s="41"/>
      <c r="AO12" s="41"/>
      <c r="AP12" s="30"/>
      <c r="AQ12" s="9">
        <v>6</v>
      </c>
      <c r="AR12" s="9" t="s">
        <v>8</v>
      </c>
      <c r="AS12" s="9" t="str">
        <f t="shared" si="5"/>
        <v>August</v>
      </c>
      <c r="AT12" s="10">
        <v>10006</v>
      </c>
      <c r="AU12" s="15">
        <f t="shared" si="6"/>
        <v>25</v>
      </c>
      <c r="AV12" s="15">
        <f t="shared" si="7"/>
        <v>0</v>
      </c>
      <c r="AW12" s="15">
        <f t="shared" si="8"/>
        <v>1</v>
      </c>
      <c r="AX12" s="15">
        <f t="shared" si="9"/>
        <v>4</v>
      </c>
      <c r="AY12" s="25">
        <f t="shared" si="10"/>
        <v>31</v>
      </c>
      <c r="AZ12" s="25">
        <f>JanReport20[[#This Row],[Days]]-JanReport20[[#This Row],[Abesent]]</f>
        <v>31</v>
      </c>
      <c r="BA12" s="26">
        <v>17000</v>
      </c>
      <c r="BB12" s="27">
        <f>JanReport20[[#This Row],[Salary]]/JanReport20[[#This Row],[Days]]</f>
        <v>548.38709677419354</v>
      </c>
      <c r="BC12" s="27">
        <f>JanReport20[[#This Row],[PerDaySalary]]*JanReport20[[#This Row],[Abesent]]</f>
        <v>0</v>
      </c>
      <c r="BD12" s="27">
        <f>JanReport20[[#This Row],[Salary]]-JanReport20[[#This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4</v>
      </c>
      <c r="I13" s="15" t="s">
        <v>41</v>
      </c>
      <c r="J13" s="15" t="s">
        <v>42</v>
      </c>
      <c r="K13" s="15" t="str">
        <f t="shared" si="3"/>
        <v>WO</v>
      </c>
      <c r="L13" s="15" t="s">
        <v>41</v>
      </c>
      <c r="M13" s="15" t="s">
        <v>41</v>
      </c>
      <c r="N13" s="15" t="s">
        <v>42</v>
      </c>
      <c r="O13" s="15" t="s">
        <v>41</v>
      </c>
      <c r="P13" s="15" t="s">
        <v>41</v>
      </c>
      <c r="Q13" s="15" t="s">
        <v>41</v>
      </c>
      <c r="R13" s="15" t="str">
        <f t="shared" si="3"/>
        <v>WO</v>
      </c>
      <c r="S13" s="15" t="s">
        <v>41</v>
      </c>
      <c r="T13" s="15" t="s">
        <v>41</v>
      </c>
      <c r="U13" s="15" t="s">
        <v>42</v>
      </c>
      <c r="V13" s="15" t="s">
        <v>41</v>
      </c>
      <c r="W13" s="15" t="s">
        <v>41</v>
      </c>
      <c r="X13" s="15" t="s">
        <v>43</v>
      </c>
      <c r="Y13" s="15" t="str">
        <f t="shared" si="4"/>
        <v>WO</v>
      </c>
      <c r="Z13" s="15" t="s">
        <v>41</v>
      </c>
      <c r="AA13" s="15" t="s">
        <v>41</v>
      </c>
      <c r="AB13" s="15" t="s">
        <v>42</v>
      </c>
      <c r="AC13" s="15" t="s">
        <v>41</v>
      </c>
      <c r="AD13" s="15" t="s">
        <v>41</v>
      </c>
      <c r="AE13" s="15" t="s">
        <v>41</v>
      </c>
      <c r="AF13" s="15" t="str">
        <f t="shared" si="4"/>
        <v>WO</v>
      </c>
      <c r="AG13" s="15" t="s">
        <v>41</v>
      </c>
      <c r="AH13" s="15" t="s">
        <v>41</v>
      </c>
      <c r="AI13" s="15" t="s">
        <v>42</v>
      </c>
      <c r="AJ13" s="15" t="s">
        <v>41</v>
      </c>
      <c r="AK13" s="15" t="s">
        <v>41</v>
      </c>
      <c r="AL13" s="15" t="s">
        <v>41</v>
      </c>
      <c r="AM13" s="16" t="str">
        <f t="shared" si="4"/>
        <v>WO</v>
      </c>
      <c r="AN13" s="41"/>
      <c r="AO13" s="41"/>
      <c r="AP13" s="30"/>
      <c r="AQ13" s="9">
        <v>7</v>
      </c>
      <c r="AR13" s="9" t="s">
        <v>9</v>
      </c>
      <c r="AS13" s="9" t="str">
        <f t="shared" si="5"/>
        <v>August</v>
      </c>
      <c r="AT13" s="10">
        <v>10007</v>
      </c>
      <c r="AU13" s="15">
        <f t="shared" si="6"/>
        <v>20</v>
      </c>
      <c r="AV13" s="15">
        <f t="shared" si="7"/>
        <v>5</v>
      </c>
      <c r="AW13" s="15">
        <f t="shared" si="8"/>
        <v>1</v>
      </c>
      <c r="AX13" s="15">
        <f t="shared" si="9"/>
        <v>4</v>
      </c>
      <c r="AY13" s="25">
        <f t="shared" si="10"/>
        <v>31</v>
      </c>
      <c r="AZ13" s="25">
        <f>JanReport20[[#This Row],[Days]]-JanReport20[[#This Row],[Abesent]]</f>
        <v>26</v>
      </c>
      <c r="BA13" s="26">
        <v>15000</v>
      </c>
      <c r="BB13" s="27">
        <f>JanReport20[[#This Row],[Salary]]/JanReport20[[#This Row],[Days]]</f>
        <v>483.87096774193549</v>
      </c>
      <c r="BC13" s="27">
        <f>JanReport20[[#This Row],[PerDaySalary]]*JanReport20[[#This Row],[Abesent]]</f>
        <v>2419.3548387096776</v>
      </c>
      <c r="BD13" s="27">
        <f>JanReport20[[#This Row],[Salary]]-JanReport20[[#This Row],[Deduction]]</f>
        <v>12580.645161290322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4</v>
      </c>
      <c r="I14" s="15" t="s">
        <v>41</v>
      </c>
      <c r="J14" s="15" t="s">
        <v>41</v>
      </c>
      <c r="K14" s="15" t="str">
        <f t="shared" si="3"/>
        <v>WO</v>
      </c>
      <c r="L14" s="15" t="s">
        <v>41</v>
      </c>
      <c r="M14" s="15" t="s">
        <v>41</v>
      </c>
      <c r="N14" s="15" t="s">
        <v>41</v>
      </c>
      <c r="O14" s="15" t="s">
        <v>41</v>
      </c>
      <c r="P14" s="15" t="s">
        <v>41</v>
      </c>
      <c r="Q14" s="15" t="s">
        <v>41</v>
      </c>
      <c r="R14" s="15" t="str">
        <f t="shared" si="3"/>
        <v>WO</v>
      </c>
      <c r="S14" s="15" t="s">
        <v>41</v>
      </c>
      <c r="T14" s="15" t="s">
        <v>41</v>
      </c>
      <c r="U14" s="15" t="s">
        <v>41</v>
      </c>
      <c r="V14" s="15" t="s">
        <v>41</v>
      </c>
      <c r="W14" s="15" t="s">
        <v>41</v>
      </c>
      <c r="X14" s="15" t="s">
        <v>43</v>
      </c>
      <c r="Y14" s="15" t="str">
        <f t="shared" si="4"/>
        <v>WO</v>
      </c>
      <c r="Z14" s="15" t="s">
        <v>41</v>
      </c>
      <c r="AA14" s="15" t="s">
        <v>41</v>
      </c>
      <c r="AB14" s="15" t="s">
        <v>41</v>
      </c>
      <c r="AC14" s="15" t="s">
        <v>41</v>
      </c>
      <c r="AD14" s="15" t="s">
        <v>41</v>
      </c>
      <c r="AE14" s="15" t="s">
        <v>41</v>
      </c>
      <c r="AF14" s="15" t="str">
        <f t="shared" si="4"/>
        <v>WO</v>
      </c>
      <c r="AG14" s="15" t="s">
        <v>41</v>
      </c>
      <c r="AH14" s="15" t="s">
        <v>41</v>
      </c>
      <c r="AI14" s="15" t="s">
        <v>41</v>
      </c>
      <c r="AJ14" s="15" t="s">
        <v>41</v>
      </c>
      <c r="AK14" s="15" t="s">
        <v>41</v>
      </c>
      <c r="AL14" s="15" t="s">
        <v>41</v>
      </c>
      <c r="AM14" s="16" t="str">
        <f t="shared" si="4"/>
        <v>WO</v>
      </c>
      <c r="AN14" s="41"/>
      <c r="AO14" s="41"/>
      <c r="AP14" s="30"/>
      <c r="AQ14" s="9">
        <v>8</v>
      </c>
      <c r="AR14" s="9" t="s">
        <v>10</v>
      </c>
      <c r="AS14" s="9" t="str">
        <f t="shared" si="5"/>
        <v>August</v>
      </c>
      <c r="AT14" s="10">
        <v>10008</v>
      </c>
      <c r="AU14" s="15">
        <f t="shared" si="6"/>
        <v>25</v>
      </c>
      <c r="AV14" s="15">
        <f t="shared" si="7"/>
        <v>0</v>
      </c>
      <c r="AW14" s="15">
        <f t="shared" si="8"/>
        <v>1</v>
      </c>
      <c r="AX14" s="15">
        <f t="shared" si="9"/>
        <v>4</v>
      </c>
      <c r="AY14" s="25">
        <f t="shared" si="10"/>
        <v>31</v>
      </c>
      <c r="AZ14" s="25">
        <f>JanReport20[[#This Row],[Days]]-JanReport20[[#This Row],[Abesent]]</f>
        <v>31</v>
      </c>
      <c r="BA14" s="26">
        <v>21000</v>
      </c>
      <c r="BB14" s="27">
        <f>JanReport20[[#This Row],[Salary]]/JanReport20[[#This Row],[Days]]</f>
        <v>677.41935483870964</v>
      </c>
      <c r="BC14" s="27">
        <f>JanReport20[[#This Row],[PerDaySalary]]*JanReport20[[#This Row],[Abesent]]</f>
        <v>0</v>
      </c>
      <c r="BD14" s="27">
        <f>JanReport20[[#This Row],[Salary]]-JanReport20[[#This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4</v>
      </c>
      <c r="I15" s="15" t="s">
        <v>41</v>
      </c>
      <c r="J15" s="15" t="s">
        <v>41</v>
      </c>
      <c r="K15" s="15" t="str">
        <f t="shared" si="3"/>
        <v>WO</v>
      </c>
      <c r="L15" s="15" t="s">
        <v>41</v>
      </c>
      <c r="M15" s="15" t="s">
        <v>41</v>
      </c>
      <c r="N15" s="15" t="s">
        <v>41</v>
      </c>
      <c r="O15" s="15" t="s">
        <v>41</v>
      </c>
      <c r="P15" s="15" t="s">
        <v>41</v>
      </c>
      <c r="Q15" s="15" t="s">
        <v>41</v>
      </c>
      <c r="R15" s="15" t="str">
        <f t="shared" si="3"/>
        <v>WO</v>
      </c>
      <c r="S15" s="15" t="s">
        <v>41</v>
      </c>
      <c r="T15" s="15" t="s">
        <v>41</v>
      </c>
      <c r="U15" s="15" t="s">
        <v>41</v>
      </c>
      <c r="V15" s="15" t="s">
        <v>41</v>
      </c>
      <c r="W15" s="15" t="s">
        <v>41</v>
      </c>
      <c r="X15" s="15" t="s">
        <v>43</v>
      </c>
      <c r="Y15" s="15" t="str">
        <f t="shared" si="4"/>
        <v>WO</v>
      </c>
      <c r="Z15" s="15" t="s">
        <v>41</v>
      </c>
      <c r="AA15" s="15" t="s">
        <v>41</v>
      </c>
      <c r="AB15" s="15" t="s">
        <v>41</v>
      </c>
      <c r="AC15" s="15" t="s">
        <v>41</v>
      </c>
      <c r="AD15" s="15" t="s">
        <v>41</v>
      </c>
      <c r="AE15" s="15" t="s">
        <v>41</v>
      </c>
      <c r="AF15" s="15" t="str">
        <f t="shared" si="4"/>
        <v>WO</v>
      </c>
      <c r="AG15" s="15" t="s">
        <v>41</v>
      </c>
      <c r="AH15" s="15" t="s">
        <v>41</v>
      </c>
      <c r="AI15" s="15" t="s">
        <v>41</v>
      </c>
      <c r="AJ15" s="15" t="s">
        <v>41</v>
      </c>
      <c r="AK15" s="15" t="s">
        <v>41</v>
      </c>
      <c r="AL15" s="15" t="s">
        <v>41</v>
      </c>
      <c r="AM15" s="16" t="str">
        <f t="shared" si="4"/>
        <v>WO</v>
      </c>
      <c r="AN15" s="41"/>
      <c r="AO15" s="41"/>
      <c r="AP15" s="30"/>
      <c r="AQ15" s="9">
        <v>9</v>
      </c>
      <c r="AR15" s="9" t="s">
        <v>11</v>
      </c>
      <c r="AS15" s="9" t="str">
        <f t="shared" si="5"/>
        <v>August</v>
      </c>
      <c r="AT15" s="10">
        <v>10009</v>
      </c>
      <c r="AU15" s="15">
        <f t="shared" si="6"/>
        <v>25</v>
      </c>
      <c r="AV15" s="15">
        <f t="shared" si="7"/>
        <v>0</v>
      </c>
      <c r="AW15" s="15">
        <f t="shared" si="8"/>
        <v>1</v>
      </c>
      <c r="AX15" s="15">
        <f t="shared" si="9"/>
        <v>4</v>
      </c>
      <c r="AY15" s="25">
        <f t="shared" si="10"/>
        <v>31</v>
      </c>
      <c r="AZ15" s="25">
        <f>JanReport20[[#This Row],[Days]]-JanReport20[[#This Row],[Abesent]]</f>
        <v>31</v>
      </c>
      <c r="BA15" s="26">
        <v>22000</v>
      </c>
      <c r="BB15" s="27">
        <f>JanReport20[[#This Row],[Salary]]/JanReport20[[#This Row],[Days]]</f>
        <v>709.67741935483866</v>
      </c>
      <c r="BC15" s="27">
        <f>JanReport20[[#This Row],[PerDaySalary]]*JanReport20[[#This Row],[Abesent]]</f>
        <v>0</v>
      </c>
      <c r="BD15" s="27">
        <f>JanReport20[[#This Row],[Salary]]-JanReport20[[#This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4</v>
      </c>
      <c r="I16" s="15" t="s">
        <v>41</v>
      </c>
      <c r="J16" s="15" t="s">
        <v>41</v>
      </c>
      <c r="K16" s="15" t="str">
        <f t="shared" si="3"/>
        <v>WO</v>
      </c>
      <c r="L16" s="15" t="s">
        <v>41</v>
      </c>
      <c r="M16" s="15" t="s">
        <v>41</v>
      </c>
      <c r="N16" s="15" t="s">
        <v>41</v>
      </c>
      <c r="O16" s="15" t="s">
        <v>41</v>
      </c>
      <c r="P16" s="15" t="s">
        <v>41</v>
      </c>
      <c r="Q16" s="15" t="s">
        <v>41</v>
      </c>
      <c r="R16" s="15" t="str">
        <f t="shared" si="3"/>
        <v>WO</v>
      </c>
      <c r="S16" s="15" t="s">
        <v>41</v>
      </c>
      <c r="T16" s="15" t="s">
        <v>41</v>
      </c>
      <c r="U16" s="15" t="s">
        <v>41</v>
      </c>
      <c r="V16" s="15" t="s">
        <v>41</v>
      </c>
      <c r="W16" s="15" t="s">
        <v>41</v>
      </c>
      <c r="X16" s="15" t="s">
        <v>43</v>
      </c>
      <c r="Y16" s="15" t="str">
        <f t="shared" si="4"/>
        <v>WO</v>
      </c>
      <c r="Z16" s="15" t="s">
        <v>41</v>
      </c>
      <c r="AA16" s="15" t="s">
        <v>41</v>
      </c>
      <c r="AB16" s="15" t="s">
        <v>41</v>
      </c>
      <c r="AC16" s="15" t="s">
        <v>41</v>
      </c>
      <c r="AD16" s="15" t="s">
        <v>41</v>
      </c>
      <c r="AE16" s="15" t="s">
        <v>41</v>
      </c>
      <c r="AF16" s="15" t="str">
        <f t="shared" si="4"/>
        <v>WO</v>
      </c>
      <c r="AG16" s="15" t="s">
        <v>41</v>
      </c>
      <c r="AH16" s="15" t="s">
        <v>41</v>
      </c>
      <c r="AI16" s="15" t="s">
        <v>41</v>
      </c>
      <c r="AJ16" s="15" t="s">
        <v>41</v>
      </c>
      <c r="AK16" s="15" t="s">
        <v>41</v>
      </c>
      <c r="AL16" s="15" t="s">
        <v>41</v>
      </c>
      <c r="AM16" s="16" t="str">
        <f t="shared" si="4"/>
        <v>WO</v>
      </c>
      <c r="AN16" s="41"/>
      <c r="AO16" s="41"/>
      <c r="AP16" s="30"/>
      <c r="AQ16" s="9">
        <v>10</v>
      </c>
      <c r="AR16" s="9" t="s">
        <v>12</v>
      </c>
      <c r="AS16" s="9" t="str">
        <f t="shared" si="5"/>
        <v>August</v>
      </c>
      <c r="AT16" s="10">
        <v>10010</v>
      </c>
      <c r="AU16" s="15">
        <f t="shared" si="6"/>
        <v>25</v>
      </c>
      <c r="AV16" s="15">
        <f t="shared" si="7"/>
        <v>0</v>
      </c>
      <c r="AW16" s="15">
        <f t="shared" si="8"/>
        <v>1</v>
      </c>
      <c r="AX16" s="15">
        <f t="shared" si="9"/>
        <v>4</v>
      </c>
      <c r="AY16" s="25">
        <f t="shared" si="10"/>
        <v>31</v>
      </c>
      <c r="AZ16" s="25">
        <f>JanReport20[[#This Row],[Days]]-JanReport20[[#This Row],[Abesent]]</f>
        <v>31</v>
      </c>
      <c r="BA16" s="26">
        <v>25000</v>
      </c>
      <c r="BB16" s="27">
        <f>JanReport20[[#This Row],[Salary]]/JanReport20[[#This Row],[Days]]</f>
        <v>806.45161290322585</v>
      </c>
      <c r="BC16" s="27">
        <f>JanReport20[[#This Row],[PerDaySalary]]*JanReport20[[#This Row],[Abesent]]</f>
        <v>0</v>
      </c>
      <c r="BD16" s="27">
        <f>JanReport20[[#This Row],[Salary]]-JanReport20[[#This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4</v>
      </c>
      <c r="I17" s="15" t="s">
        <v>41</v>
      </c>
      <c r="J17" s="15" t="s">
        <v>41</v>
      </c>
      <c r="K17" s="15" t="str">
        <f t="shared" si="3"/>
        <v>WO</v>
      </c>
      <c r="L17" s="15" t="s">
        <v>41</v>
      </c>
      <c r="M17" s="15" t="s">
        <v>41</v>
      </c>
      <c r="N17" s="15" t="s">
        <v>41</v>
      </c>
      <c r="O17" s="15" t="s">
        <v>41</v>
      </c>
      <c r="P17" s="15" t="s">
        <v>41</v>
      </c>
      <c r="Q17" s="15" t="s">
        <v>42</v>
      </c>
      <c r="R17" s="15" t="str">
        <f t="shared" si="3"/>
        <v>WO</v>
      </c>
      <c r="S17" s="15" t="s">
        <v>41</v>
      </c>
      <c r="T17" s="15" t="s">
        <v>41</v>
      </c>
      <c r="U17" s="15" t="s">
        <v>41</v>
      </c>
      <c r="V17" s="15" t="s">
        <v>41</v>
      </c>
      <c r="W17" s="15" t="s">
        <v>41</v>
      </c>
      <c r="X17" s="15" t="s">
        <v>43</v>
      </c>
      <c r="Y17" s="15" t="str">
        <f t="shared" si="4"/>
        <v>WO</v>
      </c>
      <c r="Z17" s="15" t="s">
        <v>41</v>
      </c>
      <c r="AA17" s="15" t="s">
        <v>41</v>
      </c>
      <c r="AB17" s="15" t="s">
        <v>41</v>
      </c>
      <c r="AC17" s="15" t="s">
        <v>41</v>
      </c>
      <c r="AD17" s="15" t="s">
        <v>41</v>
      </c>
      <c r="AE17" s="15" t="s">
        <v>42</v>
      </c>
      <c r="AF17" s="15" t="str">
        <f t="shared" si="4"/>
        <v>WO</v>
      </c>
      <c r="AG17" s="15" t="s">
        <v>41</v>
      </c>
      <c r="AH17" s="15" t="s">
        <v>41</v>
      </c>
      <c r="AI17" s="15" t="s">
        <v>41</v>
      </c>
      <c r="AJ17" s="15" t="s">
        <v>41</v>
      </c>
      <c r="AK17" s="15" t="s">
        <v>41</v>
      </c>
      <c r="AL17" s="15" t="s">
        <v>42</v>
      </c>
      <c r="AM17" s="16" t="str">
        <f t="shared" si="4"/>
        <v>WO</v>
      </c>
      <c r="AN17" s="41"/>
      <c r="AO17" s="41"/>
      <c r="AP17" s="30"/>
      <c r="AQ17" s="9">
        <v>11</v>
      </c>
      <c r="AR17" s="9" t="s">
        <v>13</v>
      </c>
      <c r="AS17" s="9" t="str">
        <f t="shared" si="5"/>
        <v>August</v>
      </c>
      <c r="AT17" s="10">
        <v>10011</v>
      </c>
      <c r="AU17" s="15">
        <f t="shared" si="6"/>
        <v>22</v>
      </c>
      <c r="AV17" s="15">
        <f t="shared" si="7"/>
        <v>3</v>
      </c>
      <c r="AW17" s="15">
        <f t="shared" si="8"/>
        <v>1</v>
      </c>
      <c r="AX17" s="15">
        <f t="shared" si="9"/>
        <v>4</v>
      </c>
      <c r="AY17" s="25">
        <f t="shared" si="10"/>
        <v>31</v>
      </c>
      <c r="AZ17" s="25">
        <f>JanReport20[[#This Row],[Days]]-JanReport20[[#This Row],[Abesent]]</f>
        <v>28</v>
      </c>
      <c r="BA17" s="26">
        <v>15000</v>
      </c>
      <c r="BB17" s="27">
        <f>JanReport20[[#This Row],[Salary]]/JanReport20[[#This Row],[Days]]</f>
        <v>483.87096774193549</v>
      </c>
      <c r="BC17" s="27">
        <f>JanReport20[[#This Row],[PerDaySalary]]*JanReport20[[#This Row],[Abesent]]</f>
        <v>1451.6129032258063</v>
      </c>
      <c r="BD17" s="27">
        <f>JanReport20[[#This Row],[Salary]]-JanReport20[[#This Row],[Deduction]]</f>
        <v>13548.387096774193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4</v>
      </c>
      <c r="I18" s="15" t="s">
        <v>41</v>
      </c>
      <c r="J18" s="15" t="s">
        <v>41</v>
      </c>
      <c r="K18" s="15" t="str">
        <f t="shared" si="3"/>
        <v>WO</v>
      </c>
      <c r="L18" s="15" t="s">
        <v>41</v>
      </c>
      <c r="M18" s="15" t="s">
        <v>41</v>
      </c>
      <c r="N18" s="15" t="s">
        <v>41</v>
      </c>
      <c r="O18" s="15" t="s">
        <v>41</v>
      </c>
      <c r="P18" s="15" t="s">
        <v>41</v>
      </c>
      <c r="Q18" s="15" t="s">
        <v>41</v>
      </c>
      <c r="R18" s="15" t="str">
        <f t="shared" si="3"/>
        <v>WO</v>
      </c>
      <c r="S18" s="15" t="s">
        <v>41</v>
      </c>
      <c r="T18" s="15" t="s">
        <v>41</v>
      </c>
      <c r="U18" s="15" t="s">
        <v>41</v>
      </c>
      <c r="V18" s="15" t="s">
        <v>41</v>
      </c>
      <c r="W18" s="15" t="s">
        <v>41</v>
      </c>
      <c r="X18" s="15" t="s">
        <v>43</v>
      </c>
      <c r="Y18" s="15" t="str">
        <f t="shared" si="4"/>
        <v>WO</v>
      </c>
      <c r="Z18" s="15" t="s">
        <v>41</v>
      </c>
      <c r="AA18" s="15" t="s">
        <v>41</v>
      </c>
      <c r="AB18" s="15" t="s">
        <v>41</v>
      </c>
      <c r="AC18" s="15" t="s">
        <v>41</v>
      </c>
      <c r="AD18" s="15" t="s">
        <v>41</v>
      </c>
      <c r="AE18" s="15" t="s">
        <v>41</v>
      </c>
      <c r="AF18" s="15" t="str">
        <f t="shared" si="4"/>
        <v>WO</v>
      </c>
      <c r="AG18" s="15" t="s">
        <v>41</v>
      </c>
      <c r="AH18" s="15" t="s">
        <v>41</v>
      </c>
      <c r="AI18" s="15" t="s">
        <v>41</v>
      </c>
      <c r="AJ18" s="15" t="s">
        <v>41</v>
      </c>
      <c r="AK18" s="15" t="s">
        <v>41</v>
      </c>
      <c r="AL18" s="15" t="s">
        <v>41</v>
      </c>
      <c r="AM18" s="16" t="str">
        <f t="shared" si="4"/>
        <v>WO</v>
      </c>
      <c r="AN18" s="41"/>
      <c r="AO18" s="41"/>
      <c r="AP18" s="30"/>
      <c r="AQ18" s="9">
        <v>12</v>
      </c>
      <c r="AR18" s="9" t="s">
        <v>14</v>
      </c>
      <c r="AS18" s="9" t="str">
        <f t="shared" si="5"/>
        <v>August</v>
      </c>
      <c r="AT18" s="10">
        <v>10012</v>
      </c>
      <c r="AU18" s="15">
        <f t="shared" si="6"/>
        <v>25</v>
      </c>
      <c r="AV18" s="15">
        <f t="shared" si="7"/>
        <v>0</v>
      </c>
      <c r="AW18" s="15">
        <f t="shared" si="8"/>
        <v>1</v>
      </c>
      <c r="AX18" s="15">
        <f t="shared" si="9"/>
        <v>4</v>
      </c>
      <c r="AY18" s="25">
        <f t="shared" si="10"/>
        <v>31</v>
      </c>
      <c r="AZ18" s="25">
        <f>JanReport20[[#This Row],[Days]]-JanReport20[[#This Row],[Abesent]]</f>
        <v>31</v>
      </c>
      <c r="BA18" s="26">
        <v>19000</v>
      </c>
      <c r="BB18" s="27">
        <f>JanReport20[[#This Row],[Salary]]/JanReport20[[#This Row],[Days]]</f>
        <v>612.90322580645159</v>
      </c>
      <c r="BC18" s="27">
        <f>JanReport20[[#This Row],[PerDaySalary]]*JanReport20[[#This Row],[Abesent]]</f>
        <v>0</v>
      </c>
      <c r="BD18" s="27">
        <f>JanReport20[[#This Row],[Salary]]-JanReport20[[#This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4</v>
      </c>
      <c r="I19" s="15" t="s">
        <v>41</v>
      </c>
      <c r="J19" s="15" t="s">
        <v>41</v>
      </c>
      <c r="K19" s="15" t="str">
        <f t="shared" si="3"/>
        <v>WO</v>
      </c>
      <c r="L19" s="15" t="s">
        <v>41</v>
      </c>
      <c r="M19" s="15" t="s">
        <v>41</v>
      </c>
      <c r="N19" s="15" t="s">
        <v>41</v>
      </c>
      <c r="O19" s="15" t="s">
        <v>41</v>
      </c>
      <c r="P19" s="15" t="s">
        <v>41</v>
      </c>
      <c r="Q19" s="15" t="s">
        <v>41</v>
      </c>
      <c r="R19" s="15" t="str">
        <f t="shared" si="3"/>
        <v>WO</v>
      </c>
      <c r="S19" s="15" t="s">
        <v>41</v>
      </c>
      <c r="T19" s="15" t="s">
        <v>41</v>
      </c>
      <c r="U19" s="15" t="s">
        <v>41</v>
      </c>
      <c r="V19" s="15" t="s">
        <v>41</v>
      </c>
      <c r="W19" s="15" t="s">
        <v>41</v>
      </c>
      <c r="X19" s="15" t="s">
        <v>43</v>
      </c>
      <c r="Y19" s="15" t="str">
        <f t="shared" si="4"/>
        <v>WO</v>
      </c>
      <c r="Z19" s="15" t="s">
        <v>41</v>
      </c>
      <c r="AA19" s="15" t="s">
        <v>41</v>
      </c>
      <c r="AB19" s="15" t="s">
        <v>41</v>
      </c>
      <c r="AC19" s="15" t="s">
        <v>41</v>
      </c>
      <c r="AD19" s="15" t="s">
        <v>41</v>
      </c>
      <c r="AE19" s="15" t="s">
        <v>41</v>
      </c>
      <c r="AF19" s="15" t="str">
        <f t="shared" si="4"/>
        <v>WO</v>
      </c>
      <c r="AG19" s="15" t="s">
        <v>41</v>
      </c>
      <c r="AH19" s="15" t="s">
        <v>41</v>
      </c>
      <c r="AI19" s="15" t="s">
        <v>41</v>
      </c>
      <c r="AJ19" s="15" t="s">
        <v>41</v>
      </c>
      <c r="AK19" s="15" t="s">
        <v>41</v>
      </c>
      <c r="AL19" s="15" t="s">
        <v>41</v>
      </c>
      <c r="AM19" s="16" t="str">
        <f t="shared" si="4"/>
        <v>WO</v>
      </c>
      <c r="AN19" s="41"/>
      <c r="AO19" s="41"/>
      <c r="AP19" s="30"/>
      <c r="AQ19" s="9">
        <v>13</v>
      </c>
      <c r="AR19" s="9" t="s">
        <v>15</v>
      </c>
      <c r="AS19" s="9" t="str">
        <f t="shared" si="5"/>
        <v>August</v>
      </c>
      <c r="AT19" s="10">
        <v>10013</v>
      </c>
      <c r="AU19" s="15">
        <f t="shared" si="6"/>
        <v>25</v>
      </c>
      <c r="AV19" s="15">
        <f t="shared" si="7"/>
        <v>0</v>
      </c>
      <c r="AW19" s="15">
        <f t="shared" si="8"/>
        <v>1</v>
      </c>
      <c r="AX19" s="15">
        <f t="shared" si="9"/>
        <v>4</v>
      </c>
      <c r="AY19" s="25">
        <f t="shared" si="10"/>
        <v>31</v>
      </c>
      <c r="AZ19" s="25">
        <f>JanReport20[[#This Row],[Days]]-JanReport20[[#This Row],[Abesent]]</f>
        <v>31</v>
      </c>
      <c r="BA19" s="26">
        <v>20000</v>
      </c>
      <c r="BB19" s="27">
        <f>JanReport20[[#This Row],[Salary]]/JanReport20[[#This Row],[Days]]</f>
        <v>645.16129032258061</v>
      </c>
      <c r="BC19" s="27">
        <f>JanReport20[[#This Row],[PerDaySalary]]*JanReport20[[#This Row],[Abesent]]</f>
        <v>0</v>
      </c>
      <c r="BD19" s="27">
        <f>JanReport20[[#This Row],[Salary]]-JanReport20[[#This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4</v>
      </c>
      <c r="I20" s="15" t="s">
        <v>41</v>
      </c>
      <c r="J20" s="15" t="s">
        <v>41</v>
      </c>
      <c r="K20" s="15" t="str">
        <f t="shared" si="3"/>
        <v>WO</v>
      </c>
      <c r="L20" s="15" t="s">
        <v>41</v>
      </c>
      <c r="M20" s="15" t="s">
        <v>41</v>
      </c>
      <c r="N20" s="15" t="s">
        <v>41</v>
      </c>
      <c r="O20" s="15" t="s">
        <v>41</v>
      </c>
      <c r="P20" s="15" t="s">
        <v>41</v>
      </c>
      <c r="Q20" s="15" t="s">
        <v>41</v>
      </c>
      <c r="R20" s="15" t="str">
        <f t="shared" si="3"/>
        <v>WO</v>
      </c>
      <c r="S20" s="15" t="s">
        <v>41</v>
      </c>
      <c r="T20" s="15" t="s">
        <v>41</v>
      </c>
      <c r="U20" s="15" t="s">
        <v>41</v>
      </c>
      <c r="V20" s="15" t="s">
        <v>41</v>
      </c>
      <c r="W20" s="15" t="s">
        <v>41</v>
      </c>
      <c r="X20" s="15" t="s">
        <v>43</v>
      </c>
      <c r="Y20" s="15" t="str">
        <f t="shared" si="4"/>
        <v>WO</v>
      </c>
      <c r="Z20" s="15" t="s">
        <v>41</v>
      </c>
      <c r="AA20" s="15" t="s">
        <v>41</v>
      </c>
      <c r="AB20" s="15" t="s">
        <v>41</v>
      </c>
      <c r="AC20" s="15" t="s">
        <v>41</v>
      </c>
      <c r="AD20" s="15" t="s">
        <v>41</v>
      </c>
      <c r="AE20" s="15" t="s">
        <v>41</v>
      </c>
      <c r="AF20" s="15" t="str">
        <f t="shared" si="4"/>
        <v>WO</v>
      </c>
      <c r="AG20" s="15" t="s">
        <v>41</v>
      </c>
      <c r="AH20" s="15" t="s">
        <v>41</v>
      </c>
      <c r="AI20" s="15" t="s">
        <v>41</v>
      </c>
      <c r="AJ20" s="15" t="s">
        <v>41</v>
      </c>
      <c r="AK20" s="15" t="s">
        <v>41</v>
      </c>
      <c r="AL20" s="15" t="s">
        <v>41</v>
      </c>
      <c r="AM20" s="16" t="str">
        <f t="shared" si="4"/>
        <v>WO</v>
      </c>
      <c r="AN20" s="41"/>
      <c r="AO20" s="41"/>
      <c r="AP20" s="30"/>
      <c r="AQ20" s="9">
        <v>14</v>
      </c>
      <c r="AR20" s="9" t="s">
        <v>16</v>
      </c>
      <c r="AS20" s="9" t="str">
        <f t="shared" si="5"/>
        <v>August</v>
      </c>
      <c r="AT20" s="10">
        <v>10014</v>
      </c>
      <c r="AU20" s="15">
        <f t="shared" si="6"/>
        <v>25</v>
      </c>
      <c r="AV20" s="15">
        <f t="shared" si="7"/>
        <v>0</v>
      </c>
      <c r="AW20" s="15">
        <f t="shared" si="8"/>
        <v>1</v>
      </c>
      <c r="AX20" s="15">
        <f t="shared" si="9"/>
        <v>4</v>
      </c>
      <c r="AY20" s="25">
        <f t="shared" si="10"/>
        <v>31</v>
      </c>
      <c r="AZ20" s="25">
        <f>JanReport20[[#This Row],[Days]]-JanReport20[[#This Row],[Abesent]]</f>
        <v>31</v>
      </c>
      <c r="BA20" s="26">
        <v>19000</v>
      </c>
      <c r="BB20" s="27">
        <f>JanReport20[[#This Row],[Salary]]/JanReport20[[#This Row],[Days]]</f>
        <v>612.90322580645159</v>
      </c>
      <c r="BC20" s="27">
        <f>JanReport20[[#This Row],[PerDaySalary]]*JanReport20[[#This Row],[Abesent]]</f>
        <v>0</v>
      </c>
      <c r="BD20" s="27">
        <f>JanReport20[[#This Row],[Salary]]-JanReport20[[#This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4</v>
      </c>
      <c r="I21" s="15" t="s">
        <v>41</v>
      </c>
      <c r="J21" s="15" t="s">
        <v>41</v>
      </c>
      <c r="K21" s="15" t="str">
        <f t="shared" si="3"/>
        <v>WO</v>
      </c>
      <c r="L21" s="15" t="s">
        <v>41</v>
      </c>
      <c r="M21" s="15" t="s">
        <v>41</v>
      </c>
      <c r="N21" s="15" t="s">
        <v>41</v>
      </c>
      <c r="O21" s="15" t="s">
        <v>41</v>
      </c>
      <c r="P21" s="15" t="s">
        <v>41</v>
      </c>
      <c r="Q21" s="15" t="s">
        <v>41</v>
      </c>
      <c r="R21" s="15" t="str">
        <f t="shared" si="3"/>
        <v>WO</v>
      </c>
      <c r="S21" s="15" t="s">
        <v>41</v>
      </c>
      <c r="T21" s="15" t="s">
        <v>41</v>
      </c>
      <c r="U21" s="15" t="s">
        <v>41</v>
      </c>
      <c r="V21" s="15" t="s">
        <v>41</v>
      </c>
      <c r="W21" s="15" t="s">
        <v>41</v>
      </c>
      <c r="X21" s="15" t="s">
        <v>43</v>
      </c>
      <c r="Y21" s="15" t="str">
        <f t="shared" si="4"/>
        <v>WO</v>
      </c>
      <c r="Z21" s="15" t="s">
        <v>41</v>
      </c>
      <c r="AA21" s="15" t="s">
        <v>41</v>
      </c>
      <c r="AB21" s="15" t="s">
        <v>41</v>
      </c>
      <c r="AC21" s="15" t="s">
        <v>41</v>
      </c>
      <c r="AD21" s="15" t="s">
        <v>41</v>
      </c>
      <c r="AE21" s="15" t="s">
        <v>41</v>
      </c>
      <c r="AF21" s="15" t="str">
        <f t="shared" si="4"/>
        <v>WO</v>
      </c>
      <c r="AG21" s="15" t="s">
        <v>41</v>
      </c>
      <c r="AH21" s="15" t="s">
        <v>41</v>
      </c>
      <c r="AI21" s="15" t="s">
        <v>41</v>
      </c>
      <c r="AJ21" s="15" t="s">
        <v>41</v>
      </c>
      <c r="AK21" s="15" t="s">
        <v>41</v>
      </c>
      <c r="AL21" s="15" t="s">
        <v>41</v>
      </c>
      <c r="AM21" s="16" t="str">
        <f t="shared" si="4"/>
        <v>WO</v>
      </c>
      <c r="AN21" s="41"/>
      <c r="AO21" s="41"/>
      <c r="AP21" s="30"/>
      <c r="AQ21" s="9">
        <v>15</v>
      </c>
      <c r="AR21" s="9" t="s">
        <v>17</v>
      </c>
      <c r="AS21" s="9" t="str">
        <f t="shared" si="5"/>
        <v>August</v>
      </c>
      <c r="AT21" s="10">
        <v>10015</v>
      </c>
      <c r="AU21" s="15">
        <f t="shared" si="6"/>
        <v>25</v>
      </c>
      <c r="AV21" s="15">
        <f t="shared" si="7"/>
        <v>0</v>
      </c>
      <c r="AW21" s="15">
        <f t="shared" si="8"/>
        <v>1</v>
      </c>
      <c r="AX21" s="15">
        <f t="shared" si="9"/>
        <v>4</v>
      </c>
      <c r="AY21" s="25">
        <f t="shared" si="10"/>
        <v>31</v>
      </c>
      <c r="AZ21" s="25">
        <f>JanReport20[[#This Row],[Days]]-JanReport20[[#This Row],[Abesent]]</f>
        <v>31</v>
      </c>
      <c r="BA21" s="26">
        <v>25000</v>
      </c>
      <c r="BB21" s="27">
        <f>JanReport20[[#This Row],[Salary]]/JanReport20[[#This Row],[Days]]</f>
        <v>806.45161290322585</v>
      </c>
      <c r="BC21" s="27">
        <f>JanReport20[[#This Row],[PerDaySalary]]*JanReport20[[#This Row],[Abesent]]</f>
        <v>0</v>
      </c>
      <c r="BD21" s="27">
        <f>JanReport20[[#This Row],[Salary]]-JanReport20[[#This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4</v>
      </c>
      <c r="I22" s="15" t="s">
        <v>41</v>
      </c>
      <c r="J22" s="15" t="s">
        <v>41</v>
      </c>
      <c r="K22" s="15" t="str">
        <f t="shared" si="3"/>
        <v>WO</v>
      </c>
      <c r="L22" s="15" t="s">
        <v>41</v>
      </c>
      <c r="M22" s="15" t="s">
        <v>41</v>
      </c>
      <c r="N22" s="15" t="s">
        <v>41</v>
      </c>
      <c r="O22" s="15" t="s">
        <v>42</v>
      </c>
      <c r="P22" s="15" t="s">
        <v>41</v>
      </c>
      <c r="Q22" s="15" t="s">
        <v>41</v>
      </c>
      <c r="R22" s="15" t="str">
        <f t="shared" si="3"/>
        <v>WO</v>
      </c>
      <c r="S22" s="15" t="s">
        <v>41</v>
      </c>
      <c r="T22" s="15" t="s">
        <v>41</v>
      </c>
      <c r="U22" s="15" t="s">
        <v>41</v>
      </c>
      <c r="V22" s="15" t="s">
        <v>42</v>
      </c>
      <c r="W22" s="15" t="s">
        <v>41</v>
      </c>
      <c r="X22" s="15" t="s">
        <v>43</v>
      </c>
      <c r="Y22" s="15" t="str">
        <f t="shared" si="4"/>
        <v>WO</v>
      </c>
      <c r="Z22" s="15" t="s">
        <v>41</v>
      </c>
      <c r="AA22" s="15" t="s">
        <v>41</v>
      </c>
      <c r="AB22" s="15" t="s">
        <v>41</v>
      </c>
      <c r="AC22" s="15" t="s">
        <v>42</v>
      </c>
      <c r="AD22" s="15" t="s">
        <v>41</v>
      </c>
      <c r="AE22" s="15" t="s">
        <v>41</v>
      </c>
      <c r="AF22" s="15" t="str">
        <f t="shared" si="4"/>
        <v>WO</v>
      </c>
      <c r="AG22" s="15" t="s">
        <v>41</v>
      </c>
      <c r="AH22" s="15" t="s">
        <v>41</v>
      </c>
      <c r="AI22" s="15" t="s">
        <v>41</v>
      </c>
      <c r="AJ22" s="15" t="s">
        <v>42</v>
      </c>
      <c r="AK22" s="15" t="s">
        <v>41</v>
      </c>
      <c r="AL22" s="15" t="s">
        <v>41</v>
      </c>
      <c r="AM22" s="16" t="str">
        <f t="shared" si="4"/>
        <v>WO</v>
      </c>
      <c r="AN22" s="41"/>
      <c r="AO22" s="41"/>
      <c r="AP22" s="30"/>
      <c r="AQ22" s="9">
        <v>16</v>
      </c>
      <c r="AR22" s="9" t="s">
        <v>18</v>
      </c>
      <c r="AS22" s="9" t="str">
        <f t="shared" si="5"/>
        <v>August</v>
      </c>
      <c r="AT22" s="10">
        <v>10016</v>
      </c>
      <c r="AU22" s="15">
        <f t="shared" si="6"/>
        <v>21</v>
      </c>
      <c r="AV22" s="15">
        <f t="shared" si="7"/>
        <v>4</v>
      </c>
      <c r="AW22" s="15">
        <f t="shared" si="8"/>
        <v>1</v>
      </c>
      <c r="AX22" s="15">
        <f t="shared" si="9"/>
        <v>4</v>
      </c>
      <c r="AY22" s="25">
        <f t="shared" si="10"/>
        <v>31</v>
      </c>
      <c r="AZ22" s="25">
        <f>JanReport20[[#This Row],[Days]]-JanReport20[[#This Row],[Abesent]]</f>
        <v>27</v>
      </c>
      <c r="BA22" s="26">
        <v>32000</v>
      </c>
      <c r="BB22" s="27">
        <f>JanReport20[[#This Row],[Salary]]/JanReport20[[#This Row],[Days]]</f>
        <v>1032.258064516129</v>
      </c>
      <c r="BC22" s="27">
        <f>JanReport20[[#This Row],[PerDaySalary]]*JanReport20[[#This Row],[Abesent]]</f>
        <v>4129.0322580645161</v>
      </c>
      <c r="BD22" s="27">
        <f>JanReport20[[#This Row],[Salary]]-JanReport20[[#This Row],[Deduction]]</f>
        <v>27870.967741935485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4</v>
      </c>
      <c r="I23" s="15" t="s">
        <v>41</v>
      </c>
      <c r="J23" s="15" t="s">
        <v>41</v>
      </c>
      <c r="K23" s="15" t="str">
        <f t="shared" ref="K23:R26" si="11">IF(K$5="Sun","WO","")</f>
        <v>WO</v>
      </c>
      <c r="L23" s="15" t="s">
        <v>41</v>
      </c>
      <c r="M23" s="15" t="s">
        <v>41</v>
      </c>
      <c r="N23" s="15" t="s">
        <v>41</v>
      </c>
      <c r="O23" s="15" t="s">
        <v>41</v>
      </c>
      <c r="P23" s="15" t="s">
        <v>41</v>
      </c>
      <c r="Q23" s="15" t="s">
        <v>41</v>
      </c>
      <c r="R23" s="15" t="str">
        <f t="shared" si="11"/>
        <v>WO</v>
      </c>
      <c r="S23" s="15" t="s">
        <v>41</v>
      </c>
      <c r="T23" s="15" t="s">
        <v>41</v>
      </c>
      <c r="U23" s="15" t="s">
        <v>41</v>
      </c>
      <c r="V23" s="15" t="s">
        <v>41</v>
      </c>
      <c r="W23" s="15" t="s">
        <v>41</v>
      </c>
      <c r="X23" s="15" t="s">
        <v>43</v>
      </c>
      <c r="Y23" s="15" t="str">
        <f t="shared" ref="Y23:AM26" si="12">IF(Y$5="Sun","WO","")</f>
        <v>WO</v>
      </c>
      <c r="Z23" s="15" t="s">
        <v>41</v>
      </c>
      <c r="AA23" s="15" t="s">
        <v>41</v>
      </c>
      <c r="AB23" s="15" t="s">
        <v>41</v>
      </c>
      <c r="AC23" s="15" t="s">
        <v>41</v>
      </c>
      <c r="AD23" s="15" t="s">
        <v>41</v>
      </c>
      <c r="AE23" s="15" t="s">
        <v>41</v>
      </c>
      <c r="AF23" s="15" t="str">
        <f t="shared" si="12"/>
        <v>WO</v>
      </c>
      <c r="AG23" s="15" t="s">
        <v>41</v>
      </c>
      <c r="AH23" s="15" t="s">
        <v>41</v>
      </c>
      <c r="AI23" s="15" t="s">
        <v>41</v>
      </c>
      <c r="AJ23" s="15" t="s">
        <v>41</v>
      </c>
      <c r="AK23" s="15" t="s">
        <v>41</v>
      </c>
      <c r="AL23" s="15" t="s">
        <v>41</v>
      </c>
      <c r="AM23" s="16" t="str">
        <f t="shared" si="12"/>
        <v>WO</v>
      </c>
      <c r="AN23" s="41"/>
      <c r="AO23" s="41"/>
      <c r="AP23" s="30"/>
      <c r="AQ23" s="9">
        <v>17</v>
      </c>
      <c r="AR23" s="9" t="s">
        <v>19</v>
      </c>
      <c r="AS23" s="9" t="str">
        <f t="shared" si="5"/>
        <v>August</v>
      </c>
      <c r="AT23" s="10">
        <v>10017</v>
      </c>
      <c r="AU23" s="15">
        <f t="shared" si="6"/>
        <v>25</v>
      </c>
      <c r="AV23" s="15">
        <f t="shared" si="7"/>
        <v>0</v>
      </c>
      <c r="AW23" s="15">
        <f t="shared" si="8"/>
        <v>1</v>
      </c>
      <c r="AX23" s="15">
        <f t="shared" si="9"/>
        <v>4</v>
      </c>
      <c r="AY23" s="25">
        <f t="shared" si="10"/>
        <v>31</v>
      </c>
      <c r="AZ23" s="25">
        <f>JanReport20[[#This Row],[Days]]-JanReport20[[#This Row],[Abesent]]</f>
        <v>31</v>
      </c>
      <c r="BA23" s="26">
        <v>35000</v>
      </c>
      <c r="BB23" s="27">
        <f>JanReport20[[#This Row],[Salary]]/JanReport20[[#This Row],[Days]]</f>
        <v>1129.0322580645161</v>
      </c>
      <c r="BC23" s="27">
        <f>JanReport20[[#This Row],[PerDaySalary]]*JanReport20[[#This Row],[Abesent]]</f>
        <v>0</v>
      </c>
      <c r="BD23" s="27">
        <f>JanReport20[[#This Row],[Salary]]-JanReport20[[#This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4</v>
      </c>
      <c r="I24" s="15" t="s">
        <v>41</v>
      </c>
      <c r="J24" s="15" t="s">
        <v>41</v>
      </c>
      <c r="K24" s="15" t="str">
        <f t="shared" si="11"/>
        <v>WO</v>
      </c>
      <c r="L24" s="15" t="s">
        <v>41</v>
      </c>
      <c r="M24" s="15" t="s">
        <v>41</v>
      </c>
      <c r="N24" s="15" t="s">
        <v>41</v>
      </c>
      <c r="O24" s="15" t="s">
        <v>41</v>
      </c>
      <c r="P24" s="15" t="s">
        <v>41</v>
      </c>
      <c r="Q24" s="15" t="s">
        <v>41</v>
      </c>
      <c r="R24" s="15" t="str">
        <f t="shared" si="11"/>
        <v>WO</v>
      </c>
      <c r="S24" s="15" t="s">
        <v>41</v>
      </c>
      <c r="T24" s="15" t="s">
        <v>41</v>
      </c>
      <c r="U24" s="15" t="s">
        <v>41</v>
      </c>
      <c r="V24" s="15" t="s">
        <v>41</v>
      </c>
      <c r="W24" s="15" t="s">
        <v>41</v>
      </c>
      <c r="X24" s="15" t="s">
        <v>43</v>
      </c>
      <c r="Y24" s="15" t="str">
        <f t="shared" si="12"/>
        <v>WO</v>
      </c>
      <c r="Z24" s="15" t="s">
        <v>41</v>
      </c>
      <c r="AA24" s="15" t="s">
        <v>41</v>
      </c>
      <c r="AB24" s="15" t="s">
        <v>41</v>
      </c>
      <c r="AC24" s="15" t="s">
        <v>41</v>
      </c>
      <c r="AD24" s="15" t="s">
        <v>41</v>
      </c>
      <c r="AE24" s="15" t="s">
        <v>41</v>
      </c>
      <c r="AF24" s="15" t="str">
        <f t="shared" si="12"/>
        <v>WO</v>
      </c>
      <c r="AG24" s="15" t="s">
        <v>41</v>
      </c>
      <c r="AH24" s="15" t="s">
        <v>41</v>
      </c>
      <c r="AI24" s="15" t="s">
        <v>41</v>
      </c>
      <c r="AJ24" s="15" t="s">
        <v>41</v>
      </c>
      <c r="AK24" s="15" t="s">
        <v>41</v>
      </c>
      <c r="AL24" s="15" t="s">
        <v>41</v>
      </c>
      <c r="AM24" s="16" t="str">
        <f t="shared" si="12"/>
        <v>WO</v>
      </c>
      <c r="AN24" s="41"/>
      <c r="AO24" s="41"/>
      <c r="AP24" s="30"/>
      <c r="AQ24" s="9">
        <v>18</v>
      </c>
      <c r="AR24" s="9" t="s">
        <v>20</v>
      </c>
      <c r="AS24" s="9" t="str">
        <f t="shared" si="5"/>
        <v>August</v>
      </c>
      <c r="AT24" s="10">
        <v>10018</v>
      </c>
      <c r="AU24" s="15">
        <f t="shared" si="6"/>
        <v>25</v>
      </c>
      <c r="AV24" s="15">
        <f t="shared" si="7"/>
        <v>0</v>
      </c>
      <c r="AW24" s="15">
        <f t="shared" si="8"/>
        <v>1</v>
      </c>
      <c r="AX24" s="15">
        <f t="shared" si="9"/>
        <v>4</v>
      </c>
      <c r="AY24" s="25">
        <f t="shared" si="10"/>
        <v>31</v>
      </c>
      <c r="AZ24" s="25">
        <f>JanReport20[[#This Row],[Days]]-JanReport20[[#This Row],[Abesent]]</f>
        <v>31</v>
      </c>
      <c r="BA24" s="26">
        <v>28000</v>
      </c>
      <c r="BB24" s="27">
        <f>JanReport20[[#This Row],[Salary]]/JanReport20[[#This Row],[Days]]</f>
        <v>903.22580645161293</v>
      </c>
      <c r="BC24" s="27">
        <f>JanReport20[[#This Row],[PerDaySalary]]*JanReport20[[#This Row],[Abesent]]</f>
        <v>0</v>
      </c>
      <c r="BD24" s="27">
        <f>JanReport20[[#This Row],[Salary]]-JanReport20[[#This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4</v>
      </c>
      <c r="I25" s="15" t="s">
        <v>41</v>
      </c>
      <c r="J25" s="15" t="s">
        <v>41</v>
      </c>
      <c r="K25" s="15" t="str">
        <f t="shared" si="11"/>
        <v>WO</v>
      </c>
      <c r="L25" s="15" t="s">
        <v>41</v>
      </c>
      <c r="M25" s="15" t="s">
        <v>41</v>
      </c>
      <c r="N25" s="15" t="s">
        <v>41</v>
      </c>
      <c r="O25" s="15" t="s">
        <v>41</v>
      </c>
      <c r="P25" s="15" t="s">
        <v>41</v>
      </c>
      <c r="Q25" s="15" t="s">
        <v>41</v>
      </c>
      <c r="R25" s="15" t="str">
        <f t="shared" si="11"/>
        <v>WO</v>
      </c>
      <c r="S25" s="15" t="s">
        <v>41</v>
      </c>
      <c r="T25" s="15" t="s">
        <v>41</v>
      </c>
      <c r="U25" s="15" t="s">
        <v>41</v>
      </c>
      <c r="V25" s="15" t="s">
        <v>41</v>
      </c>
      <c r="W25" s="15" t="s">
        <v>41</v>
      </c>
      <c r="X25" s="15" t="s">
        <v>43</v>
      </c>
      <c r="Y25" s="15" t="str">
        <f t="shared" si="12"/>
        <v>WO</v>
      </c>
      <c r="Z25" s="15" t="s">
        <v>41</v>
      </c>
      <c r="AA25" s="15" t="s">
        <v>41</v>
      </c>
      <c r="AB25" s="15" t="s">
        <v>41</v>
      </c>
      <c r="AC25" s="15" t="s">
        <v>41</v>
      </c>
      <c r="AD25" s="15" t="s">
        <v>41</v>
      </c>
      <c r="AE25" s="15" t="s">
        <v>41</v>
      </c>
      <c r="AF25" s="15" t="str">
        <f t="shared" si="12"/>
        <v>WO</v>
      </c>
      <c r="AG25" s="15" t="s">
        <v>41</v>
      </c>
      <c r="AH25" s="15" t="s">
        <v>41</v>
      </c>
      <c r="AI25" s="15" t="s">
        <v>41</v>
      </c>
      <c r="AJ25" s="15" t="s">
        <v>41</v>
      </c>
      <c r="AK25" s="15" t="s">
        <v>41</v>
      </c>
      <c r="AL25" s="15" t="s">
        <v>41</v>
      </c>
      <c r="AM25" s="16" t="str">
        <f t="shared" si="12"/>
        <v>WO</v>
      </c>
      <c r="AN25" s="41"/>
      <c r="AO25" s="41"/>
      <c r="AP25" s="30"/>
      <c r="AQ25" s="9">
        <v>19</v>
      </c>
      <c r="AR25" s="9" t="s">
        <v>21</v>
      </c>
      <c r="AS25" s="9" t="str">
        <f t="shared" si="5"/>
        <v>August</v>
      </c>
      <c r="AT25" s="10">
        <v>10019</v>
      </c>
      <c r="AU25" s="15">
        <f t="shared" si="6"/>
        <v>25</v>
      </c>
      <c r="AV25" s="15">
        <f t="shared" si="7"/>
        <v>0</v>
      </c>
      <c r="AW25" s="15">
        <f t="shared" si="8"/>
        <v>1</v>
      </c>
      <c r="AX25" s="15">
        <f t="shared" si="9"/>
        <v>4</v>
      </c>
      <c r="AY25" s="25">
        <f t="shared" si="10"/>
        <v>31</v>
      </c>
      <c r="AZ25" s="25">
        <f>JanReport20[[#This Row],[Days]]-JanReport20[[#This Row],[Abesent]]</f>
        <v>31</v>
      </c>
      <c r="BA25" s="26">
        <v>19000</v>
      </c>
      <c r="BB25" s="27">
        <f>JanReport20[[#This Row],[Salary]]/JanReport20[[#This Row],[Days]]</f>
        <v>612.90322580645159</v>
      </c>
      <c r="BC25" s="27">
        <f>JanReport20[[#This Row],[PerDaySalary]]*JanReport20[[#This Row],[Abesent]]</f>
        <v>0</v>
      </c>
      <c r="BD25" s="27">
        <f>JanReport20[[#This Row],[Salary]]-JanReport20[[#This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4</v>
      </c>
      <c r="I26" s="17" t="s">
        <v>41</v>
      </c>
      <c r="J26" s="17" t="s">
        <v>41</v>
      </c>
      <c r="K26" s="17" t="str">
        <f t="shared" si="11"/>
        <v>WO</v>
      </c>
      <c r="L26" s="17" t="s">
        <v>41</v>
      </c>
      <c r="M26" s="17" t="s">
        <v>41</v>
      </c>
      <c r="N26" s="17" t="s">
        <v>41</v>
      </c>
      <c r="O26" s="17" t="s">
        <v>41</v>
      </c>
      <c r="P26" s="17" t="s">
        <v>41</v>
      </c>
      <c r="Q26" s="17" t="s">
        <v>41</v>
      </c>
      <c r="R26" s="17" t="str">
        <f t="shared" si="11"/>
        <v>WO</v>
      </c>
      <c r="S26" s="17" t="s">
        <v>41</v>
      </c>
      <c r="T26" s="17" t="s">
        <v>41</v>
      </c>
      <c r="U26" s="17" t="s">
        <v>41</v>
      </c>
      <c r="V26" s="17" t="s">
        <v>41</v>
      </c>
      <c r="W26" s="17" t="s">
        <v>41</v>
      </c>
      <c r="X26" s="15" t="s">
        <v>43</v>
      </c>
      <c r="Y26" s="17" t="str">
        <f t="shared" si="12"/>
        <v>WO</v>
      </c>
      <c r="Z26" s="17" t="s">
        <v>41</v>
      </c>
      <c r="AA26" s="17" t="s">
        <v>41</v>
      </c>
      <c r="AB26" s="17" t="s">
        <v>41</v>
      </c>
      <c r="AC26" s="17" t="s">
        <v>41</v>
      </c>
      <c r="AD26" s="17" t="s">
        <v>41</v>
      </c>
      <c r="AE26" s="17" t="s">
        <v>41</v>
      </c>
      <c r="AF26" s="17" t="str">
        <f t="shared" si="12"/>
        <v>WO</v>
      </c>
      <c r="AG26" s="17" t="s">
        <v>41</v>
      </c>
      <c r="AH26" s="17" t="s">
        <v>41</v>
      </c>
      <c r="AI26" s="17" t="s">
        <v>41</v>
      </c>
      <c r="AJ26" s="17" t="s">
        <v>41</v>
      </c>
      <c r="AK26" s="17" t="s">
        <v>41</v>
      </c>
      <c r="AL26" s="17" t="s">
        <v>41</v>
      </c>
      <c r="AM26" s="18" t="str">
        <f t="shared" si="12"/>
        <v>WO</v>
      </c>
      <c r="AN26" s="41"/>
      <c r="AO26" s="41"/>
      <c r="AP26" s="30"/>
      <c r="AQ26" s="9">
        <v>20</v>
      </c>
      <c r="AR26" s="9" t="s">
        <v>22</v>
      </c>
      <c r="AS26" s="9" t="str">
        <f t="shared" si="5"/>
        <v>August</v>
      </c>
      <c r="AT26" s="10">
        <v>10020</v>
      </c>
      <c r="AU26" s="15">
        <f t="shared" si="6"/>
        <v>25</v>
      </c>
      <c r="AV26" s="15">
        <f t="shared" si="7"/>
        <v>0</v>
      </c>
      <c r="AW26" s="15">
        <f t="shared" si="8"/>
        <v>1</v>
      </c>
      <c r="AX26" s="15">
        <f t="shared" si="9"/>
        <v>4</v>
      </c>
      <c r="AY26" s="25">
        <f t="shared" si="10"/>
        <v>31</v>
      </c>
      <c r="AZ26" s="25">
        <f>JanReport20[[#This Row],[Days]]-JanReport20[[#This Row],[Abesent]]</f>
        <v>31</v>
      </c>
      <c r="BA26" s="26">
        <v>20000</v>
      </c>
      <c r="BB26" s="27">
        <f>JanReport20[[#This Row],[Salary]]/JanReport20[[#This Row],[Days]]</f>
        <v>645.16129032258061</v>
      </c>
      <c r="BC26" s="27">
        <f>JanReport20[[#This Row],[PerDaySalary]]*JanReport20[[#This Row],[Abesent]]</f>
        <v>0</v>
      </c>
      <c r="BD26" s="27">
        <f>JanReport20[[#This Row],[Salary]]-JanReport20[[#This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19" priority="1" operator="containsText" text="L">
      <formula>NOT(ISERROR(SEARCH("L",I7)))</formula>
    </cfRule>
    <cfRule type="containsText" dxfId="18" priority="2" operator="containsText" text="A">
      <formula>NOT(ISERROR(SEARCH("A",I7)))</formula>
    </cfRule>
    <cfRule type="containsText" dxfId="17" priority="3" operator="containsText" text="P">
      <formula>NOT(ISERROR(SEARCH("P",I7)))</formula>
    </cfRule>
    <cfRule type="containsText" dxfId="16" priority="4" operator="containsText" text="WO">
      <formula>NOT(ISERROR(SEARCH("WO",I7)))</formula>
    </cfRule>
  </conditionalFormatting>
  <dataValidations count="1">
    <dataValidation type="list" allowBlank="1" showInputMessage="1" showErrorMessage="1" sqref="S7:X26 Z7:AE26 L7:Q26 AG7:AL26 I7:J26" xr:uid="{411A1C32-AFBD-47EF-B317-5EC1BABC82B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239066-6CE5-4073-8F7E-7D20C09A45AE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3E64EEB-9A11-413F-A185-5B3152229CB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Aug!AU7:AW7</xm:f>
              <xm:sqref>BE7</xm:sqref>
            </x14:sparkline>
            <x14:sparkline>
              <xm:f>Aug!AU8:AW8</xm:f>
              <xm:sqref>BE8</xm:sqref>
            </x14:sparkline>
            <x14:sparkline>
              <xm:f>Aug!AU9:AW9</xm:f>
              <xm:sqref>BE9</xm:sqref>
            </x14:sparkline>
            <x14:sparkline>
              <xm:f>Aug!AU10:AW10</xm:f>
              <xm:sqref>BE10</xm:sqref>
            </x14:sparkline>
            <x14:sparkline>
              <xm:f>Aug!AU11:AW11</xm:f>
              <xm:sqref>BE11</xm:sqref>
            </x14:sparkline>
            <x14:sparkline>
              <xm:f>Aug!AU12:AW12</xm:f>
              <xm:sqref>BE12</xm:sqref>
            </x14:sparkline>
            <x14:sparkline>
              <xm:f>Aug!AU13:AW13</xm:f>
              <xm:sqref>BE13</xm:sqref>
            </x14:sparkline>
            <x14:sparkline>
              <xm:f>Aug!AU14:AW14</xm:f>
              <xm:sqref>BE14</xm:sqref>
            </x14:sparkline>
            <x14:sparkline>
              <xm:f>Aug!AU15:AW15</xm:f>
              <xm:sqref>BE15</xm:sqref>
            </x14:sparkline>
            <x14:sparkline>
              <xm:f>Aug!AU16:AW16</xm:f>
              <xm:sqref>BE16</xm:sqref>
            </x14:sparkline>
            <x14:sparkline>
              <xm:f>Aug!AU17:AW17</xm:f>
              <xm:sqref>BE17</xm:sqref>
            </x14:sparkline>
            <x14:sparkline>
              <xm:f>Aug!AU18:AW18</xm:f>
              <xm:sqref>BE18</xm:sqref>
            </x14:sparkline>
            <x14:sparkline>
              <xm:f>Aug!AU19:AW19</xm:f>
              <xm:sqref>BE19</xm:sqref>
            </x14:sparkline>
            <x14:sparkline>
              <xm:f>Aug!AU20:AW20</xm:f>
              <xm:sqref>BE20</xm:sqref>
            </x14:sparkline>
            <x14:sparkline>
              <xm:f>Aug!AU21:AW21</xm:f>
              <xm:sqref>BE21</xm:sqref>
            </x14:sparkline>
            <x14:sparkline>
              <xm:f>Aug!AU22:AW22</xm:f>
              <xm:sqref>BE22</xm:sqref>
            </x14:sparkline>
            <x14:sparkline>
              <xm:f>Aug!AU23:AW23</xm:f>
              <xm:sqref>BE23</xm:sqref>
            </x14:sparkline>
            <x14:sparkline>
              <xm:f>Aug!AU24:AW24</xm:f>
              <xm:sqref>BE24</xm:sqref>
            </x14:sparkline>
            <x14:sparkline>
              <xm:f>Aug!AU25:AW25</xm:f>
              <xm:sqref>BE25</xm:sqref>
            </x14:sparkline>
            <x14:sparkline>
              <xm:f>Aug!AU26:AW26</xm:f>
              <xm:sqref>BE26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0A95-D965-4EF9-BE75-EB8DF07AB68F}">
  <dimension ref="A1:BI32"/>
  <sheetViews>
    <sheetView zoomScaleNormal="100" workbookViewId="0"/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45901</v>
      </c>
      <c r="G4" s="42" t="str">
        <f>TEXT(F4,"MMMM")</f>
        <v>September</v>
      </c>
      <c r="H4" s="44">
        <f>(DATEDIF(F4,J4,"D"))+1</f>
        <v>30</v>
      </c>
      <c r="I4" s="42" t="s">
        <v>26</v>
      </c>
      <c r="J4" s="47">
        <f>EOMONTH(F4,0)</f>
        <v>45930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Mon</v>
      </c>
      <c r="J5" s="13" t="str">
        <f t="shared" ref="J5:AM5" si="0">TEXT(J6,"ddd")</f>
        <v>Tue</v>
      </c>
      <c r="K5" s="13" t="str">
        <f t="shared" si="0"/>
        <v>Wed</v>
      </c>
      <c r="L5" s="13" t="str">
        <f t="shared" si="0"/>
        <v>Thu</v>
      </c>
      <c r="M5" s="13" t="str">
        <f t="shared" si="0"/>
        <v>Fri</v>
      </c>
      <c r="N5" s="13" t="str">
        <f t="shared" si="0"/>
        <v>Sat</v>
      </c>
      <c r="O5" s="13" t="str">
        <f t="shared" si="0"/>
        <v>Sun</v>
      </c>
      <c r="P5" s="13" t="str">
        <f t="shared" si="0"/>
        <v>Mon</v>
      </c>
      <c r="Q5" s="13" t="str">
        <f t="shared" si="0"/>
        <v>Tue</v>
      </c>
      <c r="R5" s="13" t="str">
        <f t="shared" si="0"/>
        <v>Wed</v>
      </c>
      <c r="S5" s="13" t="str">
        <f t="shared" si="0"/>
        <v>Thu</v>
      </c>
      <c r="T5" s="13" t="str">
        <f t="shared" si="0"/>
        <v>Fri</v>
      </c>
      <c r="U5" s="13" t="str">
        <f t="shared" si="0"/>
        <v>Sat</v>
      </c>
      <c r="V5" s="13" t="str">
        <f t="shared" si="0"/>
        <v>Sun</v>
      </c>
      <c r="W5" s="13" t="str">
        <f t="shared" si="0"/>
        <v>Mon</v>
      </c>
      <c r="X5" s="13" t="str">
        <f t="shared" si="0"/>
        <v>Tue</v>
      </c>
      <c r="Y5" s="13" t="str">
        <f t="shared" si="0"/>
        <v>Wed</v>
      </c>
      <c r="Z5" s="13" t="str">
        <f t="shared" si="0"/>
        <v>Thu</v>
      </c>
      <c r="AA5" s="13" t="str">
        <f t="shared" si="0"/>
        <v>Fri</v>
      </c>
      <c r="AB5" s="13" t="str">
        <f t="shared" si="0"/>
        <v>Sat</v>
      </c>
      <c r="AC5" s="13" t="str">
        <f t="shared" si="0"/>
        <v>Sun</v>
      </c>
      <c r="AD5" s="13" t="str">
        <f t="shared" si="0"/>
        <v>Mon</v>
      </c>
      <c r="AE5" s="13" t="str">
        <f t="shared" si="0"/>
        <v>Tue</v>
      </c>
      <c r="AF5" s="13" t="str">
        <f t="shared" si="0"/>
        <v>Wed</v>
      </c>
      <c r="AG5" s="13" t="str">
        <f t="shared" si="0"/>
        <v>Thu</v>
      </c>
      <c r="AH5" s="13" t="str">
        <f t="shared" si="0"/>
        <v>Fri</v>
      </c>
      <c r="AI5" s="13" t="str">
        <f t="shared" si="0"/>
        <v>Sat</v>
      </c>
      <c r="AJ5" s="13" t="str">
        <f t="shared" si="0"/>
        <v>Sun</v>
      </c>
      <c r="AK5" s="13" t="str">
        <f t="shared" si="0"/>
        <v>Mon</v>
      </c>
      <c r="AL5" s="13" t="str">
        <f t="shared" si="0"/>
        <v>Tue</v>
      </c>
      <c r="AM5" s="14" t="str">
        <f t="shared" si="0"/>
        <v/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45901</v>
      </c>
      <c r="J6" s="34">
        <f>IF(I6&lt;$J$4,I6+1,"")</f>
        <v>45902</v>
      </c>
      <c r="K6" s="34">
        <f t="shared" ref="K6:AM6" si="1">IF(J6&lt;$J$4,J6+1,"")</f>
        <v>45903</v>
      </c>
      <c r="L6" s="34">
        <f t="shared" si="1"/>
        <v>45904</v>
      </c>
      <c r="M6" s="34">
        <f t="shared" si="1"/>
        <v>45905</v>
      </c>
      <c r="N6" s="34">
        <f t="shared" si="1"/>
        <v>45906</v>
      </c>
      <c r="O6" s="34">
        <f t="shared" si="1"/>
        <v>45907</v>
      </c>
      <c r="P6" s="34">
        <f t="shared" si="1"/>
        <v>45908</v>
      </c>
      <c r="Q6" s="34">
        <f t="shared" si="1"/>
        <v>45909</v>
      </c>
      <c r="R6" s="34">
        <f t="shared" si="1"/>
        <v>45910</v>
      </c>
      <c r="S6" s="34">
        <f t="shared" si="1"/>
        <v>45911</v>
      </c>
      <c r="T6" s="34">
        <f t="shared" si="1"/>
        <v>45912</v>
      </c>
      <c r="U6" s="34">
        <f t="shared" si="1"/>
        <v>45913</v>
      </c>
      <c r="V6" s="34">
        <f t="shared" si="1"/>
        <v>45914</v>
      </c>
      <c r="W6" s="34">
        <f t="shared" si="1"/>
        <v>45915</v>
      </c>
      <c r="X6" s="34">
        <f t="shared" si="1"/>
        <v>45916</v>
      </c>
      <c r="Y6" s="34">
        <f t="shared" si="1"/>
        <v>45917</v>
      </c>
      <c r="Z6" s="34">
        <f t="shared" si="1"/>
        <v>45918</v>
      </c>
      <c r="AA6" s="34">
        <f t="shared" si="1"/>
        <v>45919</v>
      </c>
      <c r="AB6" s="34">
        <f t="shared" si="1"/>
        <v>45920</v>
      </c>
      <c r="AC6" s="34">
        <f t="shared" si="1"/>
        <v>45921</v>
      </c>
      <c r="AD6" s="34">
        <f t="shared" si="1"/>
        <v>45922</v>
      </c>
      <c r="AE6" s="34">
        <f t="shared" si="1"/>
        <v>45923</v>
      </c>
      <c r="AF6" s="34">
        <f t="shared" si="1"/>
        <v>45924</v>
      </c>
      <c r="AG6" s="34">
        <f t="shared" si="1"/>
        <v>45925</v>
      </c>
      <c r="AH6" s="34">
        <f t="shared" si="1"/>
        <v>45926</v>
      </c>
      <c r="AI6" s="34">
        <f t="shared" si="1"/>
        <v>45927</v>
      </c>
      <c r="AJ6" s="34">
        <f t="shared" si="1"/>
        <v>45928</v>
      </c>
      <c r="AK6" s="34">
        <f t="shared" si="1"/>
        <v>45929</v>
      </c>
      <c r="AL6" s="34">
        <f t="shared" si="1"/>
        <v>45930</v>
      </c>
      <c r="AM6" s="36" t="str">
        <f t="shared" si="1"/>
        <v/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4</v>
      </c>
      <c r="I7" s="15" t="s">
        <v>41</v>
      </c>
      <c r="J7" s="15" t="s">
        <v>41</v>
      </c>
      <c r="K7" s="15" t="s">
        <v>41</v>
      </c>
      <c r="L7" s="15" t="s">
        <v>41</v>
      </c>
      <c r="M7" s="15" t="s">
        <v>41</v>
      </c>
      <c r="N7" s="15" t="s">
        <v>41</v>
      </c>
      <c r="O7" s="15" t="str">
        <f t="shared" ref="O7:V22" si="3">IF(O$5="Sun","WO","")</f>
        <v>WO</v>
      </c>
      <c r="P7" s="15" t="s">
        <v>41</v>
      </c>
      <c r="Q7" s="15" t="s">
        <v>41</v>
      </c>
      <c r="R7" s="15" t="s">
        <v>41</v>
      </c>
      <c r="S7" s="15" t="s">
        <v>41</v>
      </c>
      <c r="T7" s="15" t="s">
        <v>41</v>
      </c>
      <c r="U7" s="15" t="s">
        <v>41</v>
      </c>
      <c r="V7" s="15" t="str">
        <f t="shared" si="3"/>
        <v>WO</v>
      </c>
      <c r="W7" s="15" t="s">
        <v>41</v>
      </c>
      <c r="X7" s="15" t="s">
        <v>41</v>
      </c>
      <c r="Y7" s="15" t="s">
        <v>41</v>
      </c>
      <c r="Z7" s="15" t="s">
        <v>41</v>
      </c>
      <c r="AA7" s="15" t="s">
        <v>41</v>
      </c>
      <c r="AB7" s="15" t="s">
        <v>41</v>
      </c>
      <c r="AC7" s="15" t="str">
        <f t="shared" ref="AC7:AJ22" si="4">IF(AC$5="Sun","WO","")</f>
        <v>WO</v>
      </c>
      <c r="AD7" s="15" t="s">
        <v>41</v>
      </c>
      <c r="AE7" s="15" t="s">
        <v>41</v>
      </c>
      <c r="AF7" s="15" t="s">
        <v>41</v>
      </c>
      <c r="AG7" s="15" t="s">
        <v>41</v>
      </c>
      <c r="AH7" s="15" t="s">
        <v>41</v>
      </c>
      <c r="AI7" s="15" t="s">
        <v>41</v>
      </c>
      <c r="AJ7" s="15" t="str">
        <f t="shared" si="4"/>
        <v>WO</v>
      </c>
      <c r="AK7" s="15" t="s">
        <v>41</v>
      </c>
      <c r="AL7" s="15" t="s">
        <v>41</v>
      </c>
      <c r="AM7" s="16"/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September</v>
      </c>
      <c r="AT7" s="7">
        <v>10001</v>
      </c>
      <c r="AU7" s="21">
        <f t="shared" ref="AU7:AU26" si="6">COUNTIF($I7:$AM7,"P")</f>
        <v>26</v>
      </c>
      <c r="AV7" s="21">
        <f t="shared" ref="AV7:AV26" si="7">COUNTIF($I7:$AM7,"A")</f>
        <v>0</v>
      </c>
      <c r="AW7" s="21">
        <f t="shared" ref="AW7:AW26" si="8">COUNTIF($I7:$AM7,"L")</f>
        <v>0</v>
      </c>
      <c r="AX7" s="21">
        <f t="shared" ref="AX7:AX26" si="9">$H$7</f>
        <v>4</v>
      </c>
      <c r="AY7" s="22">
        <f t="shared" ref="AY7:AY26" si="10">$H$4</f>
        <v>30</v>
      </c>
      <c r="AZ7" s="22">
        <f>JanReport21[[#This Row],[Days]]-JanReport21[[#This Row],[Abesent]]</f>
        <v>30</v>
      </c>
      <c r="BA7" s="23">
        <v>10000</v>
      </c>
      <c r="BB7" s="24">
        <f>JanReport21[[#This Row],[Salary]]/JanReport21[[#This Row],[Days]]</f>
        <v>333.33333333333331</v>
      </c>
      <c r="BC7" s="24">
        <f>JanReport21[[#This Row],[PerDaySalary]]*JanReport21[[#This Row],[Abesent]]</f>
        <v>0</v>
      </c>
      <c r="BD7" s="24">
        <f>JanReport21[[#This Row],[Salary]]-JanReport21[[#This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4</v>
      </c>
      <c r="I8" s="15" t="s">
        <v>41</v>
      </c>
      <c r="J8" s="15" t="s">
        <v>41</v>
      </c>
      <c r="K8" s="15" t="s">
        <v>41</v>
      </c>
      <c r="L8" s="15" t="s">
        <v>41</v>
      </c>
      <c r="M8" s="15" t="s">
        <v>41</v>
      </c>
      <c r="N8" s="15" t="s">
        <v>41</v>
      </c>
      <c r="O8" s="15" t="str">
        <f t="shared" si="3"/>
        <v>WO</v>
      </c>
      <c r="P8" s="15" t="s">
        <v>41</v>
      </c>
      <c r="Q8" s="15" t="s">
        <v>41</v>
      </c>
      <c r="R8" s="15" t="s">
        <v>41</v>
      </c>
      <c r="S8" s="15" t="s">
        <v>41</v>
      </c>
      <c r="T8" s="15" t="s">
        <v>41</v>
      </c>
      <c r="U8" s="15" t="s">
        <v>41</v>
      </c>
      <c r="V8" s="15" t="str">
        <f t="shared" si="3"/>
        <v>WO</v>
      </c>
      <c r="W8" s="15" t="s">
        <v>41</v>
      </c>
      <c r="X8" s="15" t="s">
        <v>41</v>
      </c>
      <c r="Y8" s="15" t="s">
        <v>41</v>
      </c>
      <c r="Z8" s="15" t="s">
        <v>41</v>
      </c>
      <c r="AA8" s="15" t="s">
        <v>41</v>
      </c>
      <c r="AB8" s="15" t="s">
        <v>41</v>
      </c>
      <c r="AC8" s="15" t="str">
        <f t="shared" si="4"/>
        <v>WO</v>
      </c>
      <c r="AD8" s="15" t="s">
        <v>41</v>
      </c>
      <c r="AE8" s="15" t="s">
        <v>41</v>
      </c>
      <c r="AF8" s="15" t="s">
        <v>41</v>
      </c>
      <c r="AG8" s="15" t="s">
        <v>41</v>
      </c>
      <c r="AH8" s="15" t="s">
        <v>41</v>
      </c>
      <c r="AI8" s="15" t="s">
        <v>41</v>
      </c>
      <c r="AJ8" s="15" t="str">
        <f t="shared" si="4"/>
        <v>WO</v>
      </c>
      <c r="AK8" s="15" t="s">
        <v>41</v>
      </c>
      <c r="AL8" s="15" t="s">
        <v>41</v>
      </c>
      <c r="AM8" s="16"/>
      <c r="AN8" s="41"/>
      <c r="AO8" s="41"/>
      <c r="AP8" s="31"/>
      <c r="AQ8" s="9">
        <v>2</v>
      </c>
      <c r="AR8" s="9" t="s">
        <v>4</v>
      </c>
      <c r="AS8" s="9" t="str">
        <f t="shared" si="5"/>
        <v>September</v>
      </c>
      <c r="AT8" s="10">
        <v>10002</v>
      </c>
      <c r="AU8" s="15">
        <f t="shared" si="6"/>
        <v>26</v>
      </c>
      <c r="AV8" s="15">
        <f t="shared" si="7"/>
        <v>0</v>
      </c>
      <c r="AW8" s="15">
        <f t="shared" si="8"/>
        <v>0</v>
      </c>
      <c r="AX8" s="15">
        <f t="shared" si="9"/>
        <v>4</v>
      </c>
      <c r="AY8" s="25">
        <f t="shared" si="10"/>
        <v>30</v>
      </c>
      <c r="AZ8" s="25">
        <f>JanReport21[[#This Row],[Days]]-JanReport21[[#This Row],[Abesent]]</f>
        <v>30</v>
      </c>
      <c r="BA8" s="26">
        <v>15000</v>
      </c>
      <c r="BB8" s="27">
        <f>JanReport21[[#This Row],[Salary]]/JanReport21[[#This Row],[Days]]</f>
        <v>500</v>
      </c>
      <c r="BC8" s="27">
        <f>JanReport21[[#This Row],[PerDaySalary]]*JanReport21[[#This Row],[Abesent]]</f>
        <v>0</v>
      </c>
      <c r="BD8" s="27">
        <f>JanReport21[[#This Row],[Salary]]-JanReport21[[#This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4</v>
      </c>
      <c r="I9" s="15" t="s">
        <v>41</v>
      </c>
      <c r="J9" s="15" t="s">
        <v>41</v>
      </c>
      <c r="K9" s="15" t="s">
        <v>41</v>
      </c>
      <c r="L9" s="15" t="s">
        <v>41</v>
      </c>
      <c r="M9" s="15" t="s">
        <v>41</v>
      </c>
      <c r="N9" s="15" t="s">
        <v>41</v>
      </c>
      <c r="O9" s="15" t="str">
        <f t="shared" si="3"/>
        <v>WO</v>
      </c>
      <c r="P9" s="15" t="s">
        <v>41</v>
      </c>
      <c r="Q9" s="15" t="s">
        <v>41</v>
      </c>
      <c r="R9" s="15" t="s">
        <v>41</v>
      </c>
      <c r="S9" s="15" t="s">
        <v>41</v>
      </c>
      <c r="T9" s="15" t="s">
        <v>41</v>
      </c>
      <c r="U9" s="15" t="s">
        <v>41</v>
      </c>
      <c r="V9" s="15" t="str">
        <f t="shared" si="3"/>
        <v>WO</v>
      </c>
      <c r="W9" s="15" t="s">
        <v>41</v>
      </c>
      <c r="X9" s="15" t="s">
        <v>41</v>
      </c>
      <c r="Y9" s="15" t="s">
        <v>41</v>
      </c>
      <c r="Z9" s="15" t="s">
        <v>41</v>
      </c>
      <c r="AA9" s="15" t="s">
        <v>41</v>
      </c>
      <c r="AB9" s="15" t="s">
        <v>41</v>
      </c>
      <c r="AC9" s="15" t="str">
        <f t="shared" si="4"/>
        <v>WO</v>
      </c>
      <c r="AD9" s="15" t="s">
        <v>41</v>
      </c>
      <c r="AE9" s="15" t="s">
        <v>41</v>
      </c>
      <c r="AF9" s="15" t="s">
        <v>41</v>
      </c>
      <c r="AG9" s="15" t="s">
        <v>41</v>
      </c>
      <c r="AH9" s="15" t="s">
        <v>41</v>
      </c>
      <c r="AI9" s="15" t="s">
        <v>41</v>
      </c>
      <c r="AJ9" s="15" t="str">
        <f t="shared" si="4"/>
        <v>WO</v>
      </c>
      <c r="AK9" s="15" t="s">
        <v>41</v>
      </c>
      <c r="AL9" s="15" t="s">
        <v>41</v>
      </c>
      <c r="AM9" s="16"/>
      <c r="AN9" s="41"/>
      <c r="AO9" s="41"/>
      <c r="AP9" s="30"/>
      <c r="AQ9" s="9">
        <v>3</v>
      </c>
      <c r="AR9" s="9" t="s">
        <v>5</v>
      </c>
      <c r="AS9" s="9" t="str">
        <f t="shared" si="5"/>
        <v>September</v>
      </c>
      <c r="AT9" s="10">
        <v>10003</v>
      </c>
      <c r="AU9" s="15">
        <f t="shared" si="6"/>
        <v>26</v>
      </c>
      <c r="AV9" s="15">
        <f t="shared" si="7"/>
        <v>0</v>
      </c>
      <c r="AW9" s="15">
        <f t="shared" si="8"/>
        <v>0</v>
      </c>
      <c r="AX9" s="15">
        <f t="shared" si="9"/>
        <v>4</v>
      </c>
      <c r="AY9" s="25">
        <f t="shared" si="10"/>
        <v>30</v>
      </c>
      <c r="AZ9" s="25">
        <f>JanReport21[[#This Row],[Days]]-JanReport21[[#This Row],[Abesent]]</f>
        <v>30</v>
      </c>
      <c r="BA9" s="26">
        <v>20000</v>
      </c>
      <c r="BB9" s="27">
        <f>JanReport21[[#This Row],[Salary]]/JanReport21[[#This Row],[Days]]</f>
        <v>666.66666666666663</v>
      </c>
      <c r="BC9" s="27">
        <f>JanReport21[[#This Row],[PerDaySalary]]*JanReport21[[#This Row],[Abesent]]</f>
        <v>0</v>
      </c>
      <c r="BD9" s="27">
        <f>JanReport21[[#This Row],[Salary]]-JanReport21[[#This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4</v>
      </c>
      <c r="I10" s="15" t="s">
        <v>41</v>
      </c>
      <c r="J10" s="15" t="s">
        <v>41</v>
      </c>
      <c r="K10" s="15" t="s">
        <v>41</v>
      </c>
      <c r="L10" s="45" t="s">
        <v>43</v>
      </c>
      <c r="M10" s="15" t="s">
        <v>41</v>
      </c>
      <c r="N10" s="15" t="s">
        <v>41</v>
      </c>
      <c r="O10" s="15" t="str">
        <f t="shared" si="3"/>
        <v>WO</v>
      </c>
      <c r="P10" s="15" t="s">
        <v>41</v>
      </c>
      <c r="Q10" s="15" t="s">
        <v>41</v>
      </c>
      <c r="R10" s="15" t="s">
        <v>41</v>
      </c>
      <c r="S10" s="45" t="s">
        <v>43</v>
      </c>
      <c r="T10" s="15" t="s">
        <v>41</v>
      </c>
      <c r="U10" s="15" t="s">
        <v>41</v>
      </c>
      <c r="V10" s="15" t="str">
        <f t="shared" si="3"/>
        <v>WO</v>
      </c>
      <c r="W10" s="15" t="s">
        <v>41</v>
      </c>
      <c r="X10" s="15" t="s">
        <v>41</v>
      </c>
      <c r="Y10" s="15" t="s">
        <v>41</v>
      </c>
      <c r="Z10" s="45" t="s">
        <v>43</v>
      </c>
      <c r="AA10" s="15" t="s">
        <v>41</v>
      </c>
      <c r="AB10" s="15" t="s">
        <v>41</v>
      </c>
      <c r="AC10" s="15" t="str">
        <f t="shared" si="4"/>
        <v>WO</v>
      </c>
      <c r="AD10" s="15" t="s">
        <v>41</v>
      </c>
      <c r="AE10" s="15" t="s">
        <v>41</v>
      </c>
      <c r="AF10" s="15" t="s">
        <v>41</v>
      </c>
      <c r="AG10" s="45" t="s">
        <v>43</v>
      </c>
      <c r="AH10" s="15" t="s">
        <v>41</v>
      </c>
      <c r="AI10" s="15" t="s">
        <v>41</v>
      </c>
      <c r="AJ10" s="15" t="str">
        <f t="shared" si="4"/>
        <v>WO</v>
      </c>
      <c r="AK10" s="15" t="s">
        <v>41</v>
      </c>
      <c r="AL10" s="15" t="s">
        <v>41</v>
      </c>
      <c r="AM10" s="16"/>
      <c r="AN10" s="41"/>
      <c r="AO10" s="41"/>
      <c r="AP10" s="30"/>
      <c r="AQ10" s="9">
        <v>4</v>
      </c>
      <c r="AR10" s="9" t="s">
        <v>6</v>
      </c>
      <c r="AS10" s="9" t="str">
        <f t="shared" si="5"/>
        <v>September</v>
      </c>
      <c r="AT10" s="10">
        <v>10004</v>
      </c>
      <c r="AU10" s="15">
        <f t="shared" si="6"/>
        <v>22</v>
      </c>
      <c r="AV10" s="15">
        <f t="shared" si="7"/>
        <v>0</v>
      </c>
      <c r="AW10" s="15">
        <f t="shared" si="8"/>
        <v>4</v>
      </c>
      <c r="AX10" s="15">
        <f t="shared" si="9"/>
        <v>4</v>
      </c>
      <c r="AY10" s="25">
        <f t="shared" si="10"/>
        <v>30</v>
      </c>
      <c r="AZ10" s="25">
        <f>JanReport21[[#This Row],[Days]]-JanReport21[[#This Row],[Abesent]]</f>
        <v>30</v>
      </c>
      <c r="BA10" s="26">
        <v>21000</v>
      </c>
      <c r="BB10" s="27">
        <f>JanReport21[[#This Row],[Salary]]/JanReport21[[#This Row],[Days]]</f>
        <v>700</v>
      </c>
      <c r="BC10" s="27">
        <f>JanReport21[[#This Row],[PerDaySalary]]*JanReport21[[#This Row],[Abesent]]</f>
        <v>0</v>
      </c>
      <c r="BD10" s="27">
        <f>JanReport21[[#This Row],[Salary]]-JanReport21[[#This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4</v>
      </c>
      <c r="I11" s="15" t="s">
        <v>41</v>
      </c>
      <c r="J11" s="15" t="s">
        <v>41</v>
      </c>
      <c r="K11" s="15" t="s">
        <v>41</v>
      </c>
      <c r="L11" s="15" t="s">
        <v>41</v>
      </c>
      <c r="M11" s="15" t="s">
        <v>41</v>
      </c>
      <c r="N11" s="15" t="s">
        <v>41</v>
      </c>
      <c r="O11" s="15" t="str">
        <f t="shared" si="3"/>
        <v>WO</v>
      </c>
      <c r="P11" s="15" t="s">
        <v>41</v>
      </c>
      <c r="Q11" s="15" t="s">
        <v>41</v>
      </c>
      <c r="R11" s="15" t="s">
        <v>41</v>
      </c>
      <c r="S11" s="15" t="s">
        <v>41</v>
      </c>
      <c r="T11" s="15" t="s">
        <v>41</v>
      </c>
      <c r="U11" s="15" t="s">
        <v>41</v>
      </c>
      <c r="V11" s="15" t="str">
        <f t="shared" si="3"/>
        <v>WO</v>
      </c>
      <c r="W11" s="15" t="s">
        <v>41</v>
      </c>
      <c r="X11" s="15" t="s">
        <v>41</v>
      </c>
      <c r="Y11" s="15" t="s">
        <v>41</v>
      </c>
      <c r="Z11" s="15" t="s">
        <v>41</v>
      </c>
      <c r="AA11" s="15" t="s">
        <v>41</v>
      </c>
      <c r="AB11" s="15" t="s">
        <v>41</v>
      </c>
      <c r="AC11" s="15" t="str">
        <f t="shared" si="4"/>
        <v>WO</v>
      </c>
      <c r="AD11" s="15" t="s">
        <v>41</v>
      </c>
      <c r="AE11" s="15" t="s">
        <v>41</v>
      </c>
      <c r="AF11" s="15" t="s">
        <v>41</v>
      </c>
      <c r="AG11" s="15" t="s">
        <v>41</v>
      </c>
      <c r="AH11" s="15" t="s">
        <v>41</v>
      </c>
      <c r="AI11" s="15" t="s">
        <v>41</v>
      </c>
      <c r="AJ11" s="15" t="str">
        <f t="shared" si="4"/>
        <v>WO</v>
      </c>
      <c r="AK11" s="15" t="s">
        <v>41</v>
      </c>
      <c r="AL11" s="15" t="s">
        <v>41</v>
      </c>
      <c r="AM11" s="16"/>
      <c r="AN11" s="41"/>
      <c r="AO11" s="41"/>
      <c r="AP11" s="30"/>
      <c r="AQ11" s="9">
        <v>5</v>
      </c>
      <c r="AR11" s="9" t="s">
        <v>7</v>
      </c>
      <c r="AS11" s="9" t="str">
        <f t="shared" si="5"/>
        <v>September</v>
      </c>
      <c r="AT11" s="10">
        <v>10005</v>
      </c>
      <c r="AU11" s="15">
        <f t="shared" si="6"/>
        <v>26</v>
      </c>
      <c r="AV11" s="15">
        <f t="shared" si="7"/>
        <v>0</v>
      </c>
      <c r="AW11" s="15">
        <f t="shared" si="8"/>
        <v>0</v>
      </c>
      <c r="AX11" s="15">
        <f t="shared" si="9"/>
        <v>4</v>
      </c>
      <c r="AY11" s="25">
        <f t="shared" si="10"/>
        <v>30</v>
      </c>
      <c r="AZ11" s="25">
        <f>JanReport21[[#This Row],[Days]]-JanReport21[[#This Row],[Abesent]]</f>
        <v>30</v>
      </c>
      <c r="BA11" s="26">
        <v>18000</v>
      </c>
      <c r="BB11" s="27">
        <f>JanReport21[[#This Row],[Salary]]/JanReport21[[#This Row],[Days]]</f>
        <v>600</v>
      </c>
      <c r="BC11" s="27">
        <f>JanReport21[[#This Row],[PerDaySalary]]*JanReport21[[#This Row],[Abesent]]</f>
        <v>0</v>
      </c>
      <c r="BD11" s="27">
        <f>JanReport21[[#This Row],[Salary]]-JanReport21[[#This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4</v>
      </c>
      <c r="I12" s="15" t="s">
        <v>41</v>
      </c>
      <c r="J12" s="15" t="s">
        <v>41</v>
      </c>
      <c r="K12" s="15" t="s">
        <v>41</v>
      </c>
      <c r="L12" s="15" t="s">
        <v>41</v>
      </c>
      <c r="M12" s="15" t="s">
        <v>41</v>
      </c>
      <c r="N12" s="15" t="s">
        <v>41</v>
      </c>
      <c r="O12" s="15" t="str">
        <f t="shared" si="3"/>
        <v>WO</v>
      </c>
      <c r="P12" s="15" t="s">
        <v>41</v>
      </c>
      <c r="Q12" s="15" t="s">
        <v>41</v>
      </c>
      <c r="R12" s="15" t="s">
        <v>41</v>
      </c>
      <c r="S12" s="15" t="s">
        <v>41</v>
      </c>
      <c r="T12" s="15" t="s">
        <v>41</v>
      </c>
      <c r="U12" s="15" t="s">
        <v>41</v>
      </c>
      <c r="V12" s="15" t="str">
        <f t="shared" si="3"/>
        <v>WO</v>
      </c>
      <c r="W12" s="15" t="s">
        <v>41</v>
      </c>
      <c r="X12" s="15" t="s">
        <v>41</v>
      </c>
      <c r="Y12" s="15" t="s">
        <v>41</v>
      </c>
      <c r="Z12" s="15" t="s">
        <v>41</v>
      </c>
      <c r="AA12" s="15" t="s">
        <v>41</v>
      </c>
      <c r="AB12" s="15" t="s">
        <v>41</v>
      </c>
      <c r="AC12" s="15" t="str">
        <f t="shared" si="4"/>
        <v>WO</v>
      </c>
      <c r="AD12" s="15" t="s">
        <v>41</v>
      </c>
      <c r="AE12" s="15" t="s">
        <v>41</v>
      </c>
      <c r="AF12" s="15" t="s">
        <v>41</v>
      </c>
      <c r="AG12" s="15" t="s">
        <v>41</v>
      </c>
      <c r="AH12" s="15" t="s">
        <v>41</v>
      </c>
      <c r="AI12" s="15" t="s">
        <v>41</v>
      </c>
      <c r="AJ12" s="15" t="str">
        <f t="shared" si="4"/>
        <v>WO</v>
      </c>
      <c r="AK12" s="15" t="s">
        <v>41</v>
      </c>
      <c r="AL12" s="15" t="s">
        <v>41</v>
      </c>
      <c r="AM12" s="16"/>
      <c r="AN12" s="41"/>
      <c r="AO12" s="41"/>
      <c r="AP12" s="30"/>
      <c r="AQ12" s="9">
        <v>6</v>
      </c>
      <c r="AR12" s="9" t="s">
        <v>8</v>
      </c>
      <c r="AS12" s="9" t="str">
        <f t="shared" si="5"/>
        <v>September</v>
      </c>
      <c r="AT12" s="10">
        <v>10006</v>
      </c>
      <c r="AU12" s="15">
        <f t="shared" si="6"/>
        <v>26</v>
      </c>
      <c r="AV12" s="15">
        <f t="shared" si="7"/>
        <v>0</v>
      </c>
      <c r="AW12" s="15">
        <f t="shared" si="8"/>
        <v>0</v>
      </c>
      <c r="AX12" s="15">
        <f t="shared" si="9"/>
        <v>4</v>
      </c>
      <c r="AY12" s="25">
        <f t="shared" si="10"/>
        <v>30</v>
      </c>
      <c r="AZ12" s="25">
        <f>JanReport21[[#This Row],[Days]]-JanReport21[[#This Row],[Abesent]]</f>
        <v>30</v>
      </c>
      <c r="BA12" s="26">
        <v>17000</v>
      </c>
      <c r="BB12" s="27">
        <f>JanReport21[[#This Row],[Salary]]/JanReport21[[#This Row],[Days]]</f>
        <v>566.66666666666663</v>
      </c>
      <c r="BC12" s="27">
        <f>JanReport21[[#This Row],[PerDaySalary]]*JanReport21[[#This Row],[Abesent]]</f>
        <v>0</v>
      </c>
      <c r="BD12" s="27">
        <f>JanReport21[[#This Row],[Salary]]-JanReport21[[#This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4</v>
      </c>
      <c r="I13" s="15" t="s">
        <v>41</v>
      </c>
      <c r="J13" s="15" t="s">
        <v>41</v>
      </c>
      <c r="K13" s="15" t="s">
        <v>42</v>
      </c>
      <c r="L13" s="15" t="s">
        <v>41</v>
      </c>
      <c r="M13" s="15" t="s">
        <v>41</v>
      </c>
      <c r="N13" s="15" t="s">
        <v>41</v>
      </c>
      <c r="O13" s="15" t="str">
        <f t="shared" si="3"/>
        <v>WO</v>
      </c>
      <c r="P13" s="15" t="s">
        <v>41</v>
      </c>
      <c r="Q13" s="15" t="s">
        <v>41</v>
      </c>
      <c r="R13" s="15" t="s">
        <v>42</v>
      </c>
      <c r="S13" s="15" t="s">
        <v>41</v>
      </c>
      <c r="T13" s="15" t="s">
        <v>41</v>
      </c>
      <c r="U13" s="15" t="s">
        <v>41</v>
      </c>
      <c r="V13" s="15" t="str">
        <f t="shared" si="3"/>
        <v>WO</v>
      </c>
      <c r="W13" s="15" t="s">
        <v>41</v>
      </c>
      <c r="X13" s="15" t="s">
        <v>41</v>
      </c>
      <c r="Y13" s="15" t="s">
        <v>42</v>
      </c>
      <c r="Z13" s="15" t="s">
        <v>41</v>
      </c>
      <c r="AA13" s="15" t="s">
        <v>41</v>
      </c>
      <c r="AB13" s="15" t="s">
        <v>41</v>
      </c>
      <c r="AC13" s="15" t="str">
        <f t="shared" si="4"/>
        <v>WO</v>
      </c>
      <c r="AD13" s="15" t="s">
        <v>41</v>
      </c>
      <c r="AE13" s="15" t="s">
        <v>41</v>
      </c>
      <c r="AF13" s="15" t="s">
        <v>42</v>
      </c>
      <c r="AG13" s="15" t="s">
        <v>41</v>
      </c>
      <c r="AH13" s="15" t="s">
        <v>41</v>
      </c>
      <c r="AI13" s="15" t="s">
        <v>41</v>
      </c>
      <c r="AJ13" s="15" t="str">
        <f t="shared" si="4"/>
        <v>WO</v>
      </c>
      <c r="AK13" s="15" t="s">
        <v>41</v>
      </c>
      <c r="AL13" s="15" t="s">
        <v>42</v>
      </c>
      <c r="AM13" s="16"/>
      <c r="AN13" s="41"/>
      <c r="AO13" s="41"/>
      <c r="AP13" s="30"/>
      <c r="AQ13" s="9">
        <v>7</v>
      </c>
      <c r="AR13" s="9" t="s">
        <v>9</v>
      </c>
      <c r="AS13" s="9" t="str">
        <f t="shared" si="5"/>
        <v>September</v>
      </c>
      <c r="AT13" s="10">
        <v>10007</v>
      </c>
      <c r="AU13" s="15">
        <f t="shared" si="6"/>
        <v>21</v>
      </c>
      <c r="AV13" s="15">
        <f t="shared" si="7"/>
        <v>5</v>
      </c>
      <c r="AW13" s="15">
        <f t="shared" si="8"/>
        <v>0</v>
      </c>
      <c r="AX13" s="15">
        <f t="shared" si="9"/>
        <v>4</v>
      </c>
      <c r="AY13" s="25">
        <f t="shared" si="10"/>
        <v>30</v>
      </c>
      <c r="AZ13" s="25">
        <f>JanReport21[[#This Row],[Days]]-JanReport21[[#This Row],[Abesent]]</f>
        <v>25</v>
      </c>
      <c r="BA13" s="26">
        <v>15000</v>
      </c>
      <c r="BB13" s="27">
        <f>JanReport21[[#This Row],[Salary]]/JanReport21[[#This Row],[Days]]</f>
        <v>500</v>
      </c>
      <c r="BC13" s="27">
        <f>JanReport21[[#This Row],[PerDaySalary]]*JanReport21[[#This Row],[Abesent]]</f>
        <v>2500</v>
      </c>
      <c r="BD13" s="27">
        <f>JanReport21[[#This Row],[Salary]]-JanReport21[[#This Row],[Deduction]]</f>
        <v>12500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4</v>
      </c>
      <c r="I14" s="15" t="s">
        <v>41</v>
      </c>
      <c r="J14" s="15" t="s">
        <v>41</v>
      </c>
      <c r="K14" s="15" t="s">
        <v>41</v>
      </c>
      <c r="L14" s="15" t="s">
        <v>41</v>
      </c>
      <c r="M14" s="15" t="s">
        <v>41</v>
      </c>
      <c r="N14" s="15" t="s">
        <v>41</v>
      </c>
      <c r="O14" s="15" t="str">
        <f t="shared" si="3"/>
        <v>WO</v>
      </c>
      <c r="P14" s="15" t="s">
        <v>41</v>
      </c>
      <c r="Q14" s="15" t="s">
        <v>41</v>
      </c>
      <c r="R14" s="15" t="s">
        <v>41</v>
      </c>
      <c r="S14" s="15" t="s">
        <v>41</v>
      </c>
      <c r="T14" s="15" t="s">
        <v>41</v>
      </c>
      <c r="U14" s="15" t="s">
        <v>41</v>
      </c>
      <c r="V14" s="15" t="str">
        <f t="shared" si="3"/>
        <v>WO</v>
      </c>
      <c r="W14" s="15" t="s">
        <v>41</v>
      </c>
      <c r="X14" s="15" t="s">
        <v>41</v>
      </c>
      <c r="Y14" s="15" t="s">
        <v>41</v>
      </c>
      <c r="Z14" s="15" t="s">
        <v>41</v>
      </c>
      <c r="AA14" s="15" t="s">
        <v>41</v>
      </c>
      <c r="AB14" s="15" t="s">
        <v>41</v>
      </c>
      <c r="AC14" s="15" t="str">
        <f t="shared" si="4"/>
        <v>WO</v>
      </c>
      <c r="AD14" s="15" t="s">
        <v>41</v>
      </c>
      <c r="AE14" s="15" t="s">
        <v>41</v>
      </c>
      <c r="AF14" s="15" t="s">
        <v>41</v>
      </c>
      <c r="AG14" s="15" t="s">
        <v>41</v>
      </c>
      <c r="AH14" s="15" t="s">
        <v>41</v>
      </c>
      <c r="AI14" s="15" t="s">
        <v>41</v>
      </c>
      <c r="AJ14" s="15" t="str">
        <f t="shared" si="4"/>
        <v>WO</v>
      </c>
      <c r="AK14" s="15" t="s">
        <v>41</v>
      </c>
      <c r="AL14" s="15" t="s">
        <v>41</v>
      </c>
      <c r="AM14" s="16"/>
      <c r="AN14" s="41"/>
      <c r="AO14" s="41"/>
      <c r="AP14" s="30"/>
      <c r="AQ14" s="9">
        <v>8</v>
      </c>
      <c r="AR14" s="9" t="s">
        <v>10</v>
      </c>
      <c r="AS14" s="9" t="str">
        <f t="shared" si="5"/>
        <v>September</v>
      </c>
      <c r="AT14" s="10">
        <v>10008</v>
      </c>
      <c r="AU14" s="15">
        <f t="shared" si="6"/>
        <v>26</v>
      </c>
      <c r="AV14" s="15">
        <f t="shared" si="7"/>
        <v>0</v>
      </c>
      <c r="AW14" s="15">
        <f t="shared" si="8"/>
        <v>0</v>
      </c>
      <c r="AX14" s="15">
        <f t="shared" si="9"/>
        <v>4</v>
      </c>
      <c r="AY14" s="25">
        <f t="shared" si="10"/>
        <v>30</v>
      </c>
      <c r="AZ14" s="25">
        <f>JanReport21[[#This Row],[Days]]-JanReport21[[#This Row],[Abesent]]</f>
        <v>30</v>
      </c>
      <c r="BA14" s="26">
        <v>21000</v>
      </c>
      <c r="BB14" s="27">
        <f>JanReport21[[#This Row],[Salary]]/JanReport21[[#This Row],[Days]]</f>
        <v>700</v>
      </c>
      <c r="BC14" s="27">
        <f>JanReport21[[#This Row],[PerDaySalary]]*JanReport21[[#This Row],[Abesent]]</f>
        <v>0</v>
      </c>
      <c r="BD14" s="27">
        <f>JanReport21[[#This Row],[Salary]]-JanReport21[[#This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4</v>
      </c>
      <c r="I15" s="15" t="s">
        <v>41</v>
      </c>
      <c r="J15" s="15" t="s">
        <v>41</v>
      </c>
      <c r="K15" s="15" t="s">
        <v>41</v>
      </c>
      <c r="L15" s="15" t="s">
        <v>41</v>
      </c>
      <c r="M15" s="15" t="s">
        <v>41</v>
      </c>
      <c r="N15" s="15" t="s">
        <v>41</v>
      </c>
      <c r="O15" s="15" t="str">
        <f t="shared" si="3"/>
        <v>WO</v>
      </c>
      <c r="P15" s="15" t="s">
        <v>41</v>
      </c>
      <c r="Q15" s="15" t="s">
        <v>41</v>
      </c>
      <c r="R15" s="15" t="s">
        <v>41</v>
      </c>
      <c r="S15" s="15" t="s">
        <v>41</v>
      </c>
      <c r="T15" s="15" t="s">
        <v>41</v>
      </c>
      <c r="U15" s="15" t="s">
        <v>41</v>
      </c>
      <c r="V15" s="15" t="str">
        <f t="shared" si="3"/>
        <v>WO</v>
      </c>
      <c r="W15" s="15" t="s">
        <v>41</v>
      </c>
      <c r="X15" s="15" t="s">
        <v>41</v>
      </c>
      <c r="Y15" s="15" t="s">
        <v>41</v>
      </c>
      <c r="Z15" s="15" t="s">
        <v>41</v>
      </c>
      <c r="AA15" s="15" t="s">
        <v>41</v>
      </c>
      <c r="AB15" s="15" t="s">
        <v>41</v>
      </c>
      <c r="AC15" s="15" t="str">
        <f t="shared" si="4"/>
        <v>WO</v>
      </c>
      <c r="AD15" s="15" t="s">
        <v>41</v>
      </c>
      <c r="AE15" s="15" t="s">
        <v>41</v>
      </c>
      <c r="AF15" s="15" t="s">
        <v>41</v>
      </c>
      <c r="AG15" s="15" t="s">
        <v>41</v>
      </c>
      <c r="AH15" s="15" t="s">
        <v>41</v>
      </c>
      <c r="AI15" s="15" t="s">
        <v>41</v>
      </c>
      <c r="AJ15" s="15" t="str">
        <f t="shared" si="4"/>
        <v>WO</v>
      </c>
      <c r="AK15" s="15" t="s">
        <v>41</v>
      </c>
      <c r="AL15" s="15" t="s">
        <v>41</v>
      </c>
      <c r="AM15" s="16"/>
      <c r="AN15" s="41"/>
      <c r="AO15" s="41"/>
      <c r="AP15" s="30"/>
      <c r="AQ15" s="9">
        <v>9</v>
      </c>
      <c r="AR15" s="9" t="s">
        <v>11</v>
      </c>
      <c r="AS15" s="9" t="str">
        <f t="shared" si="5"/>
        <v>September</v>
      </c>
      <c r="AT15" s="10">
        <v>10009</v>
      </c>
      <c r="AU15" s="15">
        <f t="shared" si="6"/>
        <v>26</v>
      </c>
      <c r="AV15" s="15">
        <f t="shared" si="7"/>
        <v>0</v>
      </c>
      <c r="AW15" s="15">
        <f t="shared" si="8"/>
        <v>0</v>
      </c>
      <c r="AX15" s="15">
        <f t="shared" si="9"/>
        <v>4</v>
      </c>
      <c r="AY15" s="25">
        <f t="shared" si="10"/>
        <v>30</v>
      </c>
      <c r="AZ15" s="25">
        <f>JanReport21[[#This Row],[Days]]-JanReport21[[#This Row],[Abesent]]</f>
        <v>30</v>
      </c>
      <c r="BA15" s="26">
        <v>22000</v>
      </c>
      <c r="BB15" s="27">
        <f>JanReport21[[#This Row],[Salary]]/JanReport21[[#This Row],[Days]]</f>
        <v>733.33333333333337</v>
      </c>
      <c r="BC15" s="27">
        <f>JanReport21[[#This Row],[PerDaySalary]]*JanReport21[[#This Row],[Abesent]]</f>
        <v>0</v>
      </c>
      <c r="BD15" s="27">
        <f>JanReport21[[#This Row],[Salary]]-JanReport21[[#This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4</v>
      </c>
      <c r="I16" s="15" t="s">
        <v>41</v>
      </c>
      <c r="J16" s="15" t="s">
        <v>41</v>
      </c>
      <c r="K16" s="15" t="s">
        <v>41</v>
      </c>
      <c r="L16" s="15" t="s">
        <v>41</v>
      </c>
      <c r="M16" s="15" t="s">
        <v>41</v>
      </c>
      <c r="N16" s="15" t="s">
        <v>41</v>
      </c>
      <c r="O16" s="15" t="str">
        <f t="shared" si="3"/>
        <v>WO</v>
      </c>
      <c r="P16" s="15" t="s">
        <v>41</v>
      </c>
      <c r="Q16" s="15" t="s">
        <v>41</v>
      </c>
      <c r="R16" s="15" t="s">
        <v>41</v>
      </c>
      <c r="S16" s="15" t="s">
        <v>41</v>
      </c>
      <c r="T16" s="15" t="s">
        <v>41</v>
      </c>
      <c r="U16" s="15" t="s">
        <v>41</v>
      </c>
      <c r="V16" s="15" t="str">
        <f t="shared" si="3"/>
        <v>WO</v>
      </c>
      <c r="W16" s="15" t="s">
        <v>41</v>
      </c>
      <c r="X16" s="15" t="s">
        <v>41</v>
      </c>
      <c r="Y16" s="15" t="s">
        <v>41</v>
      </c>
      <c r="Z16" s="15" t="s">
        <v>41</v>
      </c>
      <c r="AA16" s="15" t="s">
        <v>41</v>
      </c>
      <c r="AB16" s="15" t="s">
        <v>41</v>
      </c>
      <c r="AC16" s="15" t="str">
        <f t="shared" si="4"/>
        <v>WO</v>
      </c>
      <c r="AD16" s="15" t="s">
        <v>41</v>
      </c>
      <c r="AE16" s="15" t="s">
        <v>41</v>
      </c>
      <c r="AF16" s="15" t="s">
        <v>41</v>
      </c>
      <c r="AG16" s="15" t="s">
        <v>41</v>
      </c>
      <c r="AH16" s="15" t="s">
        <v>41</v>
      </c>
      <c r="AI16" s="15" t="s">
        <v>41</v>
      </c>
      <c r="AJ16" s="15" t="str">
        <f t="shared" si="4"/>
        <v>WO</v>
      </c>
      <c r="AK16" s="15" t="s">
        <v>41</v>
      </c>
      <c r="AL16" s="15" t="s">
        <v>41</v>
      </c>
      <c r="AM16" s="16"/>
      <c r="AN16" s="41"/>
      <c r="AO16" s="41"/>
      <c r="AP16" s="30"/>
      <c r="AQ16" s="9">
        <v>10</v>
      </c>
      <c r="AR16" s="9" t="s">
        <v>12</v>
      </c>
      <c r="AS16" s="9" t="str">
        <f t="shared" si="5"/>
        <v>September</v>
      </c>
      <c r="AT16" s="10">
        <v>10010</v>
      </c>
      <c r="AU16" s="15">
        <f t="shared" si="6"/>
        <v>26</v>
      </c>
      <c r="AV16" s="15">
        <f t="shared" si="7"/>
        <v>0</v>
      </c>
      <c r="AW16" s="15">
        <f t="shared" si="8"/>
        <v>0</v>
      </c>
      <c r="AX16" s="15">
        <f t="shared" si="9"/>
        <v>4</v>
      </c>
      <c r="AY16" s="25">
        <f t="shared" si="10"/>
        <v>30</v>
      </c>
      <c r="AZ16" s="25">
        <f>JanReport21[[#This Row],[Days]]-JanReport21[[#This Row],[Abesent]]</f>
        <v>30</v>
      </c>
      <c r="BA16" s="26">
        <v>25000</v>
      </c>
      <c r="BB16" s="27">
        <f>JanReport21[[#This Row],[Salary]]/JanReport21[[#This Row],[Days]]</f>
        <v>833.33333333333337</v>
      </c>
      <c r="BC16" s="27">
        <f>JanReport21[[#This Row],[PerDaySalary]]*JanReport21[[#This Row],[Abesent]]</f>
        <v>0</v>
      </c>
      <c r="BD16" s="27">
        <f>JanReport21[[#This Row],[Salary]]-JanReport21[[#This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4</v>
      </c>
      <c r="I17" s="15" t="s">
        <v>41</v>
      </c>
      <c r="J17" s="15" t="s">
        <v>41</v>
      </c>
      <c r="K17" s="15" t="s">
        <v>41</v>
      </c>
      <c r="L17" s="15" t="s">
        <v>41</v>
      </c>
      <c r="M17" s="15" t="s">
        <v>41</v>
      </c>
      <c r="N17" s="15" t="s">
        <v>42</v>
      </c>
      <c r="O17" s="15" t="str">
        <f t="shared" si="3"/>
        <v>WO</v>
      </c>
      <c r="P17" s="15" t="s">
        <v>41</v>
      </c>
      <c r="Q17" s="15" t="s">
        <v>41</v>
      </c>
      <c r="R17" s="15" t="s">
        <v>41</v>
      </c>
      <c r="S17" s="15" t="s">
        <v>41</v>
      </c>
      <c r="T17" s="15" t="s">
        <v>41</v>
      </c>
      <c r="U17" s="15" t="s">
        <v>42</v>
      </c>
      <c r="V17" s="15" t="str">
        <f t="shared" si="3"/>
        <v>WO</v>
      </c>
      <c r="W17" s="15" t="s">
        <v>41</v>
      </c>
      <c r="X17" s="15" t="s">
        <v>41</v>
      </c>
      <c r="Y17" s="15" t="s">
        <v>41</v>
      </c>
      <c r="Z17" s="15" t="s">
        <v>41</v>
      </c>
      <c r="AA17" s="15" t="s">
        <v>41</v>
      </c>
      <c r="AB17" s="15" t="s">
        <v>42</v>
      </c>
      <c r="AC17" s="15" t="str">
        <f t="shared" si="4"/>
        <v>WO</v>
      </c>
      <c r="AD17" s="15" t="s">
        <v>41</v>
      </c>
      <c r="AE17" s="15" t="s">
        <v>41</v>
      </c>
      <c r="AF17" s="15" t="s">
        <v>41</v>
      </c>
      <c r="AG17" s="15" t="s">
        <v>41</v>
      </c>
      <c r="AH17" s="15" t="s">
        <v>41</v>
      </c>
      <c r="AI17" s="15" t="s">
        <v>42</v>
      </c>
      <c r="AJ17" s="15" t="str">
        <f t="shared" si="4"/>
        <v>WO</v>
      </c>
      <c r="AK17" s="15" t="s">
        <v>41</v>
      </c>
      <c r="AL17" s="15" t="s">
        <v>41</v>
      </c>
      <c r="AM17" s="16"/>
      <c r="AN17" s="41"/>
      <c r="AO17" s="41"/>
      <c r="AP17" s="30"/>
      <c r="AQ17" s="9">
        <v>11</v>
      </c>
      <c r="AR17" s="9" t="s">
        <v>13</v>
      </c>
      <c r="AS17" s="9" t="str">
        <f t="shared" si="5"/>
        <v>September</v>
      </c>
      <c r="AT17" s="10">
        <v>10011</v>
      </c>
      <c r="AU17" s="15">
        <f t="shared" si="6"/>
        <v>22</v>
      </c>
      <c r="AV17" s="15">
        <f t="shared" si="7"/>
        <v>4</v>
      </c>
      <c r="AW17" s="15">
        <f t="shared" si="8"/>
        <v>0</v>
      </c>
      <c r="AX17" s="15">
        <f t="shared" si="9"/>
        <v>4</v>
      </c>
      <c r="AY17" s="25">
        <f t="shared" si="10"/>
        <v>30</v>
      </c>
      <c r="AZ17" s="25">
        <f>JanReport21[[#This Row],[Days]]-JanReport21[[#This Row],[Abesent]]</f>
        <v>26</v>
      </c>
      <c r="BA17" s="26">
        <v>15000</v>
      </c>
      <c r="BB17" s="27">
        <f>JanReport21[[#This Row],[Salary]]/JanReport21[[#This Row],[Days]]</f>
        <v>500</v>
      </c>
      <c r="BC17" s="27">
        <f>JanReport21[[#This Row],[PerDaySalary]]*JanReport21[[#This Row],[Abesent]]</f>
        <v>2000</v>
      </c>
      <c r="BD17" s="27">
        <f>JanReport21[[#This Row],[Salary]]-JanReport21[[#This Row],[Deduction]]</f>
        <v>13000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4</v>
      </c>
      <c r="I18" s="15" t="s">
        <v>41</v>
      </c>
      <c r="J18" s="15" t="s">
        <v>41</v>
      </c>
      <c r="K18" s="15" t="s">
        <v>41</v>
      </c>
      <c r="L18" s="15" t="s">
        <v>41</v>
      </c>
      <c r="M18" s="15" t="s">
        <v>41</v>
      </c>
      <c r="N18" s="15" t="s">
        <v>41</v>
      </c>
      <c r="O18" s="15" t="str">
        <f t="shared" si="3"/>
        <v>WO</v>
      </c>
      <c r="P18" s="15" t="s">
        <v>41</v>
      </c>
      <c r="Q18" s="15" t="s">
        <v>41</v>
      </c>
      <c r="R18" s="15" t="s">
        <v>41</v>
      </c>
      <c r="S18" s="15" t="s">
        <v>41</v>
      </c>
      <c r="T18" s="15" t="s">
        <v>41</v>
      </c>
      <c r="U18" s="15" t="s">
        <v>41</v>
      </c>
      <c r="V18" s="15" t="str">
        <f t="shared" si="3"/>
        <v>WO</v>
      </c>
      <c r="W18" s="15" t="s">
        <v>41</v>
      </c>
      <c r="X18" s="15" t="s">
        <v>41</v>
      </c>
      <c r="Y18" s="15" t="s">
        <v>41</v>
      </c>
      <c r="Z18" s="15" t="s">
        <v>41</v>
      </c>
      <c r="AA18" s="15" t="s">
        <v>41</v>
      </c>
      <c r="AB18" s="15" t="s">
        <v>41</v>
      </c>
      <c r="AC18" s="15" t="str">
        <f t="shared" si="4"/>
        <v>WO</v>
      </c>
      <c r="AD18" s="15" t="s">
        <v>41</v>
      </c>
      <c r="AE18" s="15" t="s">
        <v>41</v>
      </c>
      <c r="AF18" s="15" t="s">
        <v>41</v>
      </c>
      <c r="AG18" s="15" t="s">
        <v>41</v>
      </c>
      <c r="AH18" s="15" t="s">
        <v>41</v>
      </c>
      <c r="AI18" s="15" t="s">
        <v>41</v>
      </c>
      <c r="AJ18" s="15" t="str">
        <f t="shared" si="4"/>
        <v>WO</v>
      </c>
      <c r="AK18" s="15" t="s">
        <v>41</v>
      </c>
      <c r="AL18" s="15" t="s">
        <v>41</v>
      </c>
      <c r="AM18" s="16"/>
      <c r="AN18" s="41"/>
      <c r="AO18" s="41"/>
      <c r="AP18" s="30"/>
      <c r="AQ18" s="9">
        <v>12</v>
      </c>
      <c r="AR18" s="9" t="s">
        <v>14</v>
      </c>
      <c r="AS18" s="9" t="str">
        <f t="shared" si="5"/>
        <v>September</v>
      </c>
      <c r="AT18" s="10">
        <v>10012</v>
      </c>
      <c r="AU18" s="15">
        <f t="shared" si="6"/>
        <v>26</v>
      </c>
      <c r="AV18" s="15">
        <f t="shared" si="7"/>
        <v>0</v>
      </c>
      <c r="AW18" s="15">
        <f t="shared" si="8"/>
        <v>0</v>
      </c>
      <c r="AX18" s="15">
        <f t="shared" si="9"/>
        <v>4</v>
      </c>
      <c r="AY18" s="25">
        <f t="shared" si="10"/>
        <v>30</v>
      </c>
      <c r="AZ18" s="25">
        <f>JanReport21[[#This Row],[Days]]-JanReport21[[#This Row],[Abesent]]</f>
        <v>30</v>
      </c>
      <c r="BA18" s="26">
        <v>19000</v>
      </c>
      <c r="BB18" s="27">
        <f>JanReport21[[#This Row],[Salary]]/JanReport21[[#This Row],[Days]]</f>
        <v>633.33333333333337</v>
      </c>
      <c r="BC18" s="27">
        <f>JanReport21[[#This Row],[PerDaySalary]]*JanReport21[[#This Row],[Abesent]]</f>
        <v>0</v>
      </c>
      <c r="BD18" s="27">
        <f>JanReport21[[#This Row],[Salary]]-JanReport21[[#This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4</v>
      </c>
      <c r="I19" s="15" t="s">
        <v>41</v>
      </c>
      <c r="J19" s="15" t="s">
        <v>41</v>
      </c>
      <c r="K19" s="15" t="s">
        <v>41</v>
      </c>
      <c r="L19" s="15" t="s">
        <v>41</v>
      </c>
      <c r="M19" s="15" t="s">
        <v>41</v>
      </c>
      <c r="N19" s="15" t="s">
        <v>41</v>
      </c>
      <c r="O19" s="15" t="str">
        <f t="shared" si="3"/>
        <v>WO</v>
      </c>
      <c r="P19" s="15" t="s">
        <v>41</v>
      </c>
      <c r="Q19" s="15" t="s">
        <v>41</v>
      </c>
      <c r="R19" s="15" t="s">
        <v>41</v>
      </c>
      <c r="S19" s="15" t="s">
        <v>41</v>
      </c>
      <c r="T19" s="15" t="s">
        <v>41</v>
      </c>
      <c r="U19" s="15" t="s">
        <v>41</v>
      </c>
      <c r="V19" s="15" t="str">
        <f t="shared" si="3"/>
        <v>WO</v>
      </c>
      <c r="W19" s="15" t="s">
        <v>41</v>
      </c>
      <c r="X19" s="15" t="s">
        <v>41</v>
      </c>
      <c r="Y19" s="15" t="s">
        <v>41</v>
      </c>
      <c r="Z19" s="15" t="s">
        <v>41</v>
      </c>
      <c r="AA19" s="15" t="s">
        <v>41</v>
      </c>
      <c r="AB19" s="15" t="s">
        <v>41</v>
      </c>
      <c r="AC19" s="15" t="str">
        <f t="shared" si="4"/>
        <v>WO</v>
      </c>
      <c r="AD19" s="15" t="s">
        <v>41</v>
      </c>
      <c r="AE19" s="15" t="s">
        <v>41</v>
      </c>
      <c r="AF19" s="15" t="s">
        <v>41</v>
      </c>
      <c r="AG19" s="15" t="s">
        <v>41</v>
      </c>
      <c r="AH19" s="15" t="s">
        <v>41</v>
      </c>
      <c r="AI19" s="15" t="s">
        <v>41</v>
      </c>
      <c r="AJ19" s="15" t="str">
        <f t="shared" si="4"/>
        <v>WO</v>
      </c>
      <c r="AK19" s="15" t="s">
        <v>41</v>
      </c>
      <c r="AL19" s="15" t="s">
        <v>41</v>
      </c>
      <c r="AM19" s="16"/>
      <c r="AN19" s="41"/>
      <c r="AO19" s="41"/>
      <c r="AP19" s="30"/>
      <c r="AQ19" s="9">
        <v>13</v>
      </c>
      <c r="AR19" s="9" t="s">
        <v>15</v>
      </c>
      <c r="AS19" s="9" t="str">
        <f t="shared" si="5"/>
        <v>September</v>
      </c>
      <c r="AT19" s="10">
        <v>10013</v>
      </c>
      <c r="AU19" s="15">
        <f t="shared" si="6"/>
        <v>26</v>
      </c>
      <c r="AV19" s="15">
        <f t="shared" si="7"/>
        <v>0</v>
      </c>
      <c r="AW19" s="15">
        <f t="shared" si="8"/>
        <v>0</v>
      </c>
      <c r="AX19" s="15">
        <f t="shared" si="9"/>
        <v>4</v>
      </c>
      <c r="AY19" s="25">
        <f t="shared" si="10"/>
        <v>30</v>
      </c>
      <c r="AZ19" s="25">
        <f>JanReport21[[#This Row],[Days]]-JanReport21[[#This Row],[Abesent]]</f>
        <v>30</v>
      </c>
      <c r="BA19" s="26">
        <v>20000</v>
      </c>
      <c r="BB19" s="27">
        <f>JanReport21[[#This Row],[Salary]]/JanReport21[[#This Row],[Days]]</f>
        <v>666.66666666666663</v>
      </c>
      <c r="BC19" s="27">
        <f>JanReport21[[#This Row],[PerDaySalary]]*JanReport21[[#This Row],[Abesent]]</f>
        <v>0</v>
      </c>
      <c r="BD19" s="27">
        <f>JanReport21[[#This Row],[Salary]]-JanReport21[[#This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4</v>
      </c>
      <c r="I20" s="15" t="s">
        <v>41</v>
      </c>
      <c r="J20" s="15" t="s">
        <v>41</v>
      </c>
      <c r="K20" s="15" t="s">
        <v>41</v>
      </c>
      <c r="L20" s="15" t="s">
        <v>41</v>
      </c>
      <c r="M20" s="15" t="s">
        <v>41</v>
      </c>
      <c r="N20" s="15" t="s">
        <v>41</v>
      </c>
      <c r="O20" s="15" t="str">
        <f t="shared" si="3"/>
        <v>WO</v>
      </c>
      <c r="P20" s="15" t="s">
        <v>41</v>
      </c>
      <c r="Q20" s="15" t="s">
        <v>41</v>
      </c>
      <c r="R20" s="15" t="s">
        <v>41</v>
      </c>
      <c r="S20" s="15" t="s">
        <v>41</v>
      </c>
      <c r="T20" s="15" t="s">
        <v>41</v>
      </c>
      <c r="U20" s="15" t="s">
        <v>41</v>
      </c>
      <c r="V20" s="15" t="str">
        <f t="shared" si="3"/>
        <v>WO</v>
      </c>
      <c r="W20" s="15" t="s">
        <v>41</v>
      </c>
      <c r="X20" s="15" t="s">
        <v>41</v>
      </c>
      <c r="Y20" s="15" t="s">
        <v>41</v>
      </c>
      <c r="Z20" s="15" t="s">
        <v>41</v>
      </c>
      <c r="AA20" s="15" t="s">
        <v>41</v>
      </c>
      <c r="AB20" s="15" t="s">
        <v>41</v>
      </c>
      <c r="AC20" s="15" t="str">
        <f t="shared" si="4"/>
        <v>WO</v>
      </c>
      <c r="AD20" s="15" t="s">
        <v>41</v>
      </c>
      <c r="AE20" s="15" t="s">
        <v>41</v>
      </c>
      <c r="AF20" s="15" t="s">
        <v>41</v>
      </c>
      <c r="AG20" s="15" t="s">
        <v>41</v>
      </c>
      <c r="AH20" s="15" t="s">
        <v>41</v>
      </c>
      <c r="AI20" s="15" t="s">
        <v>41</v>
      </c>
      <c r="AJ20" s="15" t="str">
        <f t="shared" si="4"/>
        <v>WO</v>
      </c>
      <c r="AK20" s="15" t="s">
        <v>41</v>
      </c>
      <c r="AL20" s="15" t="s">
        <v>41</v>
      </c>
      <c r="AM20" s="16"/>
      <c r="AN20" s="41"/>
      <c r="AO20" s="41"/>
      <c r="AP20" s="30"/>
      <c r="AQ20" s="9">
        <v>14</v>
      </c>
      <c r="AR20" s="9" t="s">
        <v>16</v>
      </c>
      <c r="AS20" s="9" t="str">
        <f t="shared" si="5"/>
        <v>September</v>
      </c>
      <c r="AT20" s="10">
        <v>10014</v>
      </c>
      <c r="AU20" s="15">
        <f t="shared" si="6"/>
        <v>26</v>
      </c>
      <c r="AV20" s="15">
        <f t="shared" si="7"/>
        <v>0</v>
      </c>
      <c r="AW20" s="15">
        <f t="shared" si="8"/>
        <v>0</v>
      </c>
      <c r="AX20" s="15">
        <f t="shared" si="9"/>
        <v>4</v>
      </c>
      <c r="AY20" s="25">
        <f t="shared" si="10"/>
        <v>30</v>
      </c>
      <c r="AZ20" s="25">
        <f>JanReport21[[#This Row],[Days]]-JanReport21[[#This Row],[Abesent]]</f>
        <v>30</v>
      </c>
      <c r="BA20" s="26">
        <v>19000</v>
      </c>
      <c r="BB20" s="27">
        <f>JanReport21[[#This Row],[Salary]]/JanReport21[[#This Row],[Days]]</f>
        <v>633.33333333333337</v>
      </c>
      <c r="BC20" s="27">
        <f>JanReport21[[#This Row],[PerDaySalary]]*JanReport21[[#This Row],[Abesent]]</f>
        <v>0</v>
      </c>
      <c r="BD20" s="27">
        <f>JanReport21[[#This Row],[Salary]]-JanReport21[[#This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4</v>
      </c>
      <c r="I21" s="15" t="s">
        <v>41</v>
      </c>
      <c r="J21" s="15" t="s">
        <v>41</v>
      </c>
      <c r="K21" s="15" t="s">
        <v>41</v>
      </c>
      <c r="L21" s="15" t="s">
        <v>41</v>
      </c>
      <c r="M21" s="15" t="s">
        <v>41</v>
      </c>
      <c r="N21" s="15" t="s">
        <v>41</v>
      </c>
      <c r="O21" s="15" t="str">
        <f t="shared" si="3"/>
        <v>WO</v>
      </c>
      <c r="P21" s="15" t="s">
        <v>41</v>
      </c>
      <c r="Q21" s="15" t="s">
        <v>41</v>
      </c>
      <c r="R21" s="15" t="s">
        <v>41</v>
      </c>
      <c r="S21" s="15" t="s">
        <v>41</v>
      </c>
      <c r="T21" s="15" t="s">
        <v>41</v>
      </c>
      <c r="U21" s="15" t="s">
        <v>41</v>
      </c>
      <c r="V21" s="15" t="str">
        <f t="shared" si="3"/>
        <v>WO</v>
      </c>
      <c r="W21" s="15" t="s">
        <v>41</v>
      </c>
      <c r="X21" s="15" t="s">
        <v>41</v>
      </c>
      <c r="Y21" s="15" t="s">
        <v>41</v>
      </c>
      <c r="Z21" s="15" t="s">
        <v>41</v>
      </c>
      <c r="AA21" s="15" t="s">
        <v>41</v>
      </c>
      <c r="AB21" s="15" t="s">
        <v>41</v>
      </c>
      <c r="AC21" s="15" t="str">
        <f t="shared" si="4"/>
        <v>WO</v>
      </c>
      <c r="AD21" s="15" t="s">
        <v>41</v>
      </c>
      <c r="AE21" s="15" t="s">
        <v>41</v>
      </c>
      <c r="AF21" s="15" t="s">
        <v>41</v>
      </c>
      <c r="AG21" s="15" t="s">
        <v>41</v>
      </c>
      <c r="AH21" s="15" t="s">
        <v>41</v>
      </c>
      <c r="AI21" s="15" t="s">
        <v>41</v>
      </c>
      <c r="AJ21" s="15" t="str">
        <f t="shared" si="4"/>
        <v>WO</v>
      </c>
      <c r="AK21" s="15" t="s">
        <v>41</v>
      </c>
      <c r="AL21" s="15" t="s">
        <v>41</v>
      </c>
      <c r="AM21" s="16"/>
      <c r="AN21" s="41"/>
      <c r="AO21" s="41"/>
      <c r="AP21" s="30"/>
      <c r="AQ21" s="9">
        <v>15</v>
      </c>
      <c r="AR21" s="9" t="s">
        <v>17</v>
      </c>
      <c r="AS21" s="9" t="str">
        <f t="shared" si="5"/>
        <v>September</v>
      </c>
      <c r="AT21" s="10">
        <v>10015</v>
      </c>
      <c r="AU21" s="15">
        <f t="shared" si="6"/>
        <v>26</v>
      </c>
      <c r="AV21" s="15">
        <f t="shared" si="7"/>
        <v>0</v>
      </c>
      <c r="AW21" s="15">
        <f t="shared" si="8"/>
        <v>0</v>
      </c>
      <c r="AX21" s="15">
        <f t="shared" si="9"/>
        <v>4</v>
      </c>
      <c r="AY21" s="25">
        <f t="shared" si="10"/>
        <v>30</v>
      </c>
      <c r="AZ21" s="25">
        <f>JanReport21[[#This Row],[Days]]-JanReport21[[#This Row],[Abesent]]</f>
        <v>30</v>
      </c>
      <c r="BA21" s="26">
        <v>25000</v>
      </c>
      <c r="BB21" s="27">
        <f>JanReport21[[#This Row],[Salary]]/JanReport21[[#This Row],[Days]]</f>
        <v>833.33333333333337</v>
      </c>
      <c r="BC21" s="27">
        <f>JanReport21[[#This Row],[PerDaySalary]]*JanReport21[[#This Row],[Abesent]]</f>
        <v>0</v>
      </c>
      <c r="BD21" s="27">
        <f>JanReport21[[#This Row],[Salary]]-JanReport21[[#This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4</v>
      </c>
      <c r="I22" s="15" t="s">
        <v>41</v>
      </c>
      <c r="J22" s="15" t="s">
        <v>41</v>
      </c>
      <c r="K22" s="15" t="s">
        <v>41</v>
      </c>
      <c r="L22" s="15" t="s">
        <v>42</v>
      </c>
      <c r="M22" s="15" t="s">
        <v>41</v>
      </c>
      <c r="N22" s="15" t="s">
        <v>41</v>
      </c>
      <c r="O22" s="15" t="str">
        <f t="shared" si="3"/>
        <v>WO</v>
      </c>
      <c r="P22" s="15" t="s">
        <v>41</v>
      </c>
      <c r="Q22" s="15" t="s">
        <v>41</v>
      </c>
      <c r="R22" s="15" t="s">
        <v>41</v>
      </c>
      <c r="S22" s="15" t="s">
        <v>42</v>
      </c>
      <c r="T22" s="15" t="s">
        <v>41</v>
      </c>
      <c r="U22" s="15" t="s">
        <v>41</v>
      </c>
      <c r="V22" s="15" t="str">
        <f t="shared" si="3"/>
        <v>WO</v>
      </c>
      <c r="W22" s="15" t="s">
        <v>41</v>
      </c>
      <c r="X22" s="15" t="s">
        <v>41</v>
      </c>
      <c r="Y22" s="15" t="s">
        <v>41</v>
      </c>
      <c r="Z22" s="15" t="s">
        <v>42</v>
      </c>
      <c r="AA22" s="15" t="s">
        <v>41</v>
      </c>
      <c r="AB22" s="15" t="s">
        <v>41</v>
      </c>
      <c r="AC22" s="15" t="str">
        <f t="shared" si="4"/>
        <v>WO</v>
      </c>
      <c r="AD22" s="15" t="s">
        <v>41</v>
      </c>
      <c r="AE22" s="15" t="s">
        <v>41</v>
      </c>
      <c r="AF22" s="15" t="s">
        <v>41</v>
      </c>
      <c r="AG22" s="15" t="s">
        <v>42</v>
      </c>
      <c r="AH22" s="15" t="s">
        <v>41</v>
      </c>
      <c r="AI22" s="15" t="s">
        <v>41</v>
      </c>
      <c r="AJ22" s="15" t="str">
        <f t="shared" si="4"/>
        <v>WO</v>
      </c>
      <c r="AK22" s="15" t="s">
        <v>41</v>
      </c>
      <c r="AL22" s="15" t="s">
        <v>41</v>
      </c>
      <c r="AM22" s="16"/>
      <c r="AN22" s="41"/>
      <c r="AO22" s="41"/>
      <c r="AP22" s="30"/>
      <c r="AQ22" s="9">
        <v>16</v>
      </c>
      <c r="AR22" s="9" t="s">
        <v>18</v>
      </c>
      <c r="AS22" s="9" t="str">
        <f t="shared" si="5"/>
        <v>September</v>
      </c>
      <c r="AT22" s="10">
        <v>10016</v>
      </c>
      <c r="AU22" s="15">
        <f t="shared" si="6"/>
        <v>22</v>
      </c>
      <c r="AV22" s="15">
        <f t="shared" si="7"/>
        <v>4</v>
      </c>
      <c r="AW22" s="15">
        <f t="shared" si="8"/>
        <v>0</v>
      </c>
      <c r="AX22" s="15">
        <f t="shared" si="9"/>
        <v>4</v>
      </c>
      <c r="AY22" s="25">
        <f t="shared" si="10"/>
        <v>30</v>
      </c>
      <c r="AZ22" s="25">
        <f>JanReport21[[#This Row],[Days]]-JanReport21[[#This Row],[Abesent]]</f>
        <v>26</v>
      </c>
      <c r="BA22" s="26">
        <v>32000</v>
      </c>
      <c r="BB22" s="27">
        <f>JanReport21[[#This Row],[Salary]]/JanReport21[[#This Row],[Days]]</f>
        <v>1066.6666666666667</v>
      </c>
      <c r="BC22" s="27">
        <f>JanReport21[[#This Row],[PerDaySalary]]*JanReport21[[#This Row],[Abesent]]</f>
        <v>4266.666666666667</v>
      </c>
      <c r="BD22" s="27">
        <f>JanReport21[[#This Row],[Salary]]-JanReport21[[#This Row],[Deduction]]</f>
        <v>27733.333333333332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4</v>
      </c>
      <c r="I23" s="15" t="s">
        <v>41</v>
      </c>
      <c r="J23" s="15" t="s">
        <v>41</v>
      </c>
      <c r="K23" s="15" t="s">
        <v>41</v>
      </c>
      <c r="L23" s="15" t="s">
        <v>41</v>
      </c>
      <c r="M23" s="15" t="s">
        <v>41</v>
      </c>
      <c r="N23" s="15" t="s">
        <v>41</v>
      </c>
      <c r="O23" s="15" t="str">
        <f t="shared" ref="O23:V26" si="11">IF(O$5="Sun","WO","")</f>
        <v>WO</v>
      </c>
      <c r="P23" s="15" t="s">
        <v>41</v>
      </c>
      <c r="Q23" s="15" t="s">
        <v>41</v>
      </c>
      <c r="R23" s="15" t="s">
        <v>41</v>
      </c>
      <c r="S23" s="15" t="s">
        <v>41</v>
      </c>
      <c r="T23" s="15" t="s">
        <v>41</v>
      </c>
      <c r="U23" s="15" t="s">
        <v>41</v>
      </c>
      <c r="V23" s="15" t="str">
        <f t="shared" si="11"/>
        <v>WO</v>
      </c>
      <c r="W23" s="15" t="s">
        <v>41</v>
      </c>
      <c r="X23" s="15" t="s">
        <v>41</v>
      </c>
      <c r="Y23" s="15" t="s">
        <v>41</v>
      </c>
      <c r="Z23" s="15" t="s">
        <v>41</v>
      </c>
      <c r="AA23" s="15" t="s">
        <v>41</v>
      </c>
      <c r="AB23" s="15" t="s">
        <v>41</v>
      </c>
      <c r="AC23" s="15" t="str">
        <f t="shared" ref="AC23:AJ26" si="12">IF(AC$5="Sun","WO","")</f>
        <v>WO</v>
      </c>
      <c r="AD23" s="15" t="s">
        <v>41</v>
      </c>
      <c r="AE23" s="15" t="s">
        <v>41</v>
      </c>
      <c r="AF23" s="15" t="s">
        <v>41</v>
      </c>
      <c r="AG23" s="15" t="s">
        <v>41</v>
      </c>
      <c r="AH23" s="15" t="s">
        <v>41</v>
      </c>
      <c r="AI23" s="15" t="s">
        <v>41</v>
      </c>
      <c r="AJ23" s="15" t="str">
        <f t="shared" si="12"/>
        <v>WO</v>
      </c>
      <c r="AK23" s="15" t="s">
        <v>41</v>
      </c>
      <c r="AL23" s="15" t="s">
        <v>41</v>
      </c>
      <c r="AM23" s="16"/>
      <c r="AN23" s="41"/>
      <c r="AO23" s="41"/>
      <c r="AP23" s="30"/>
      <c r="AQ23" s="9">
        <v>17</v>
      </c>
      <c r="AR23" s="9" t="s">
        <v>19</v>
      </c>
      <c r="AS23" s="9" t="str">
        <f t="shared" si="5"/>
        <v>September</v>
      </c>
      <c r="AT23" s="10">
        <v>10017</v>
      </c>
      <c r="AU23" s="15">
        <f t="shared" si="6"/>
        <v>26</v>
      </c>
      <c r="AV23" s="15">
        <f t="shared" si="7"/>
        <v>0</v>
      </c>
      <c r="AW23" s="15">
        <f t="shared" si="8"/>
        <v>0</v>
      </c>
      <c r="AX23" s="15">
        <f t="shared" si="9"/>
        <v>4</v>
      </c>
      <c r="AY23" s="25">
        <f t="shared" si="10"/>
        <v>30</v>
      </c>
      <c r="AZ23" s="25">
        <f>JanReport21[[#This Row],[Days]]-JanReport21[[#This Row],[Abesent]]</f>
        <v>30</v>
      </c>
      <c r="BA23" s="26">
        <v>35000</v>
      </c>
      <c r="BB23" s="27">
        <f>JanReport21[[#This Row],[Salary]]/JanReport21[[#This Row],[Days]]</f>
        <v>1166.6666666666667</v>
      </c>
      <c r="BC23" s="27">
        <f>JanReport21[[#This Row],[PerDaySalary]]*JanReport21[[#This Row],[Abesent]]</f>
        <v>0</v>
      </c>
      <c r="BD23" s="27">
        <f>JanReport21[[#This Row],[Salary]]-JanReport21[[#This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4</v>
      </c>
      <c r="I24" s="15" t="s">
        <v>41</v>
      </c>
      <c r="J24" s="15" t="s">
        <v>41</v>
      </c>
      <c r="K24" s="15" t="s">
        <v>41</v>
      </c>
      <c r="L24" s="15" t="s">
        <v>41</v>
      </c>
      <c r="M24" s="15" t="s">
        <v>41</v>
      </c>
      <c r="N24" s="15" t="s">
        <v>41</v>
      </c>
      <c r="O24" s="15" t="str">
        <f t="shared" si="11"/>
        <v>WO</v>
      </c>
      <c r="P24" s="15" t="s">
        <v>41</v>
      </c>
      <c r="Q24" s="15" t="s">
        <v>41</v>
      </c>
      <c r="R24" s="15" t="s">
        <v>41</v>
      </c>
      <c r="S24" s="15" t="s">
        <v>41</v>
      </c>
      <c r="T24" s="15" t="s">
        <v>41</v>
      </c>
      <c r="U24" s="15" t="s">
        <v>41</v>
      </c>
      <c r="V24" s="15" t="str">
        <f t="shared" si="11"/>
        <v>WO</v>
      </c>
      <c r="W24" s="15" t="s">
        <v>41</v>
      </c>
      <c r="X24" s="15" t="s">
        <v>41</v>
      </c>
      <c r="Y24" s="15" t="s">
        <v>41</v>
      </c>
      <c r="Z24" s="15" t="s">
        <v>41</v>
      </c>
      <c r="AA24" s="15" t="s">
        <v>41</v>
      </c>
      <c r="AB24" s="15" t="s">
        <v>41</v>
      </c>
      <c r="AC24" s="15" t="str">
        <f t="shared" si="12"/>
        <v>WO</v>
      </c>
      <c r="AD24" s="15" t="s">
        <v>41</v>
      </c>
      <c r="AE24" s="15" t="s">
        <v>41</v>
      </c>
      <c r="AF24" s="15" t="s">
        <v>41</v>
      </c>
      <c r="AG24" s="15" t="s">
        <v>41</v>
      </c>
      <c r="AH24" s="15" t="s">
        <v>41</v>
      </c>
      <c r="AI24" s="15" t="s">
        <v>41</v>
      </c>
      <c r="AJ24" s="15" t="str">
        <f t="shared" si="12"/>
        <v>WO</v>
      </c>
      <c r="AK24" s="15" t="s">
        <v>41</v>
      </c>
      <c r="AL24" s="15" t="s">
        <v>41</v>
      </c>
      <c r="AM24" s="16"/>
      <c r="AN24" s="41"/>
      <c r="AO24" s="41"/>
      <c r="AP24" s="30"/>
      <c r="AQ24" s="9">
        <v>18</v>
      </c>
      <c r="AR24" s="9" t="s">
        <v>20</v>
      </c>
      <c r="AS24" s="9" t="str">
        <f t="shared" si="5"/>
        <v>September</v>
      </c>
      <c r="AT24" s="10">
        <v>10018</v>
      </c>
      <c r="AU24" s="15">
        <f t="shared" si="6"/>
        <v>26</v>
      </c>
      <c r="AV24" s="15">
        <f t="shared" si="7"/>
        <v>0</v>
      </c>
      <c r="AW24" s="15">
        <f t="shared" si="8"/>
        <v>0</v>
      </c>
      <c r="AX24" s="15">
        <f t="shared" si="9"/>
        <v>4</v>
      </c>
      <c r="AY24" s="25">
        <f t="shared" si="10"/>
        <v>30</v>
      </c>
      <c r="AZ24" s="25">
        <f>JanReport21[[#This Row],[Days]]-JanReport21[[#This Row],[Abesent]]</f>
        <v>30</v>
      </c>
      <c r="BA24" s="26">
        <v>28000</v>
      </c>
      <c r="BB24" s="27">
        <f>JanReport21[[#This Row],[Salary]]/JanReport21[[#This Row],[Days]]</f>
        <v>933.33333333333337</v>
      </c>
      <c r="BC24" s="27">
        <f>JanReport21[[#This Row],[PerDaySalary]]*JanReport21[[#This Row],[Abesent]]</f>
        <v>0</v>
      </c>
      <c r="BD24" s="27">
        <f>JanReport21[[#This Row],[Salary]]-JanReport21[[#This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4</v>
      </c>
      <c r="I25" s="15" t="s">
        <v>41</v>
      </c>
      <c r="J25" s="15" t="s">
        <v>41</v>
      </c>
      <c r="K25" s="15" t="s">
        <v>41</v>
      </c>
      <c r="L25" s="15" t="s">
        <v>41</v>
      </c>
      <c r="M25" s="15" t="s">
        <v>41</v>
      </c>
      <c r="N25" s="15" t="s">
        <v>41</v>
      </c>
      <c r="O25" s="15" t="str">
        <f t="shared" si="11"/>
        <v>WO</v>
      </c>
      <c r="P25" s="15" t="s">
        <v>41</v>
      </c>
      <c r="Q25" s="15" t="s">
        <v>41</v>
      </c>
      <c r="R25" s="15" t="s">
        <v>41</v>
      </c>
      <c r="S25" s="15" t="s">
        <v>41</v>
      </c>
      <c r="T25" s="15" t="s">
        <v>41</v>
      </c>
      <c r="U25" s="15" t="s">
        <v>41</v>
      </c>
      <c r="V25" s="15" t="str">
        <f t="shared" si="11"/>
        <v>WO</v>
      </c>
      <c r="W25" s="15" t="s">
        <v>41</v>
      </c>
      <c r="X25" s="15" t="s">
        <v>41</v>
      </c>
      <c r="Y25" s="15" t="s">
        <v>41</v>
      </c>
      <c r="Z25" s="15" t="s">
        <v>41</v>
      </c>
      <c r="AA25" s="15" t="s">
        <v>41</v>
      </c>
      <c r="AB25" s="15" t="s">
        <v>41</v>
      </c>
      <c r="AC25" s="15" t="str">
        <f t="shared" si="12"/>
        <v>WO</v>
      </c>
      <c r="AD25" s="15" t="s">
        <v>41</v>
      </c>
      <c r="AE25" s="15" t="s">
        <v>41</v>
      </c>
      <c r="AF25" s="15" t="s">
        <v>41</v>
      </c>
      <c r="AG25" s="15" t="s">
        <v>41</v>
      </c>
      <c r="AH25" s="15" t="s">
        <v>41</v>
      </c>
      <c r="AI25" s="15" t="s">
        <v>41</v>
      </c>
      <c r="AJ25" s="15" t="str">
        <f t="shared" si="12"/>
        <v>WO</v>
      </c>
      <c r="AK25" s="15" t="s">
        <v>41</v>
      </c>
      <c r="AL25" s="15" t="s">
        <v>41</v>
      </c>
      <c r="AM25" s="16"/>
      <c r="AN25" s="41"/>
      <c r="AO25" s="41"/>
      <c r="AP25" s="30"/>
      <c r="AQ25" s="9">
        <v>19</v>
      </c>
      <c r="AR25" s="9" t="s">
        <v>21</v>
      </c>
      <c r="AS25" s="9" t="str">
        <f t="shared" si="5"/>
        <v>September</v>
      </c>
      <c r="AT25" s="10">
        <v>10019</v>
      </c>
      <c r="AU25" s="15">
        <f t="shared" si="6"/>
        <v>26</v>
      </c>
      <c r="AV25" s="15">
        <f t="shared" si="7"/>
        <v>0</v>
      </c>
      <c r="AW25" s="15">
        <f t="shared" si="8"/>
        <v>0</v>
      </c>
      <c r="AX25" s="15">
        <f t="shared" si="9"/>
        <v>4</v>
      </c>
      <c r="AY25" s="25">
        <f t="shared" si="10"/>
        <v>30</v>
      </c>
      <c r="AZ25" s="25">
        <f>JanReport21[[#This Row],[Days]]-JanReport21[[#This Row],[Abesent]]</f>
        <v>30</v>
      </c>
      <c r="BA25" s="26">
        <v>19000</v>
      </c>
      <c r="BB25" s="27">
        <f>JanReport21[[#This Row],[Salary]]/JanReport21[[#This Row],[Days]]</f>
        <v>633.33333333333337</v>
      </c>
      <c r="BC25" s="27">
        <f>JanReport21[[#This Row],[PerDaySalary]]*JanReport21[[#This Row],[Abesent]]</f>
        <v>0</v>
      </c>
      <c r="BD25" s="27">
        <f>JanReport21[[#This Row],[Salary]]-JanReport21[[#This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4</v>
      </c>
      <c r="I26" s="17" t="s">
        <v>41</v>
      </c>
      <c r="J26" s="17" t="s">
        <v>41</v>
      </c>
      <c r="K26" s="17" t="s">
        <v>41</v>
      </c>
      <c r="L26" s="17" t="s">
        <v>41</v>
      </c>
      <c r="M26" s="17" t="s">
        <v>41</v>
      </c>
      <c r="N26" s="17" t="s">
        <v>41</v>
      </c>
      <c r="O26" s="17" t="str">
        <f t="shared" si="11"/>
        <v>WO</v>
      </c>
      <c r="P26" s="17" t="s">
        <v>41</v>
      </c>
      <c r="Q26" s="17" t="s">
        <v>41</v>
      </c>
      <c r="R26" s="17" t="s">
        <v>41</v>
      </c>
      <c r="S26" s="17" t="s">
        <v>41</v>
      </c>
      <c r="T26" s="17" t="s">
        <v>41</v>
      </c>
      <c r="U26" s="17" t="s">
        <v>41</v>
      </c>
      <c r="V26" s="17" t="str">
        <f t="shared" si="11"/>
        <v>WO</v>
      </c>
      <c r="W26" s="17" t="s">
        <v>41</v>
      </c>
      <c r="X26" s="17" t="s">
        <v>41</v>
      </c>
      <c r="Y26" s="17" t="s">
        <v>41</v>
      </c>
      <c r="Z26" s="17" t="s">
        <v>41</v>
      </c>
      <c r="AA26" s="17" t="s">
        <v>41</v>
      </c>
      <c r="AB26" s="17" t="s">
        <v>41</v>
      </c>
      <c r="AC26" s="17" t="str">
        <f t="shared" si="12"/>
        <v>WO</v>
      </c>
      <c r="AD26" s="17" t="s">
        <v>41</v>
      </c>
      <c r="AE26" s="17" t="s">
        <v>41</v>
      </c>
      <c r="AF26" s="17" t="s">
        <v>41</v>
      </c>
      <c r="AG26" s="17" t="s">
        <v>41</v>
      </c>
      <c r="AH26" s="17" t="s">
        <v>41</v>
      </c>
      <c r="AI26" s="17" t="s">
        <v>41</v>
      </c>
      <c r="AJ26" s="17" t="str">
        <f t="shared" si="12"/>
        <v>WO</v>
      </c>
      <c r="AK26" s="17" t="s">
        <v>41</v>
      </c>
      <c r="AL26" s="17" t="s">
        <v>41</v>
      </c>
      <c r="AM26" s="18"/>
      <c r="AN26" s="41"/>
      <c r="AO26" s="41"/>
      <c r="AP26" s="30"/>
      <c r="AQ26" s="9">
        <v>20</v>
      </c>
      <c r="AR26" s="9" t="s">
        <v>22</v>
      </c>
      <c r="AS26" s="9" t="str">
        <f t="shared" si="5"/>
        <v>September</v>
      </c>
      <c r="AT26" s="10">
        <v>10020</v>
      </c>
      <c r="AU26" s="15">
        <f t="shared" si="6"/>
        <v>26</v>
      </c>
      <c r="AV26" s="15">
        <f t="shared" si="7"/>
        <v>0</v>
      </c>
      <c r="AW26" s="15">
        <f t="shared" si="8"/>
        <v>0</v>
      </c>
      <c r="AX26" s="15">
        <f t="shared" si="9"/>
        <v>4</v>
      </c>
      <c r="AY26" s="25">
        <f t="shared" si="10"/>
        <v>30</v>
      </c>
      <c r="AZ26" s="25">
        <f>JanReport21[[#This Row],[Days]]-JanReport21[[#This Row],[Abesent]]</f>
        <v>30</v>
      </c>
      <c r="BA26" s="26">
        <v>20000</v>
      </c>
      <c r="BB26" s="27">
        <f>JanReport21[[#This Row],[Salary]]/JanReport21[[#This Row],[Days]]</f>
        <v>666.66666666666663</v>
      </c>
      <c r="BC26" s="27">
        <f>JanReport21[[#This Row],[PerDaySalary]]*JanReport21[[#This Row],[Abesent]]</f>
        <v>0</v>
      </c>
      <c r="BD26" s="27">
        <f>JanReport21[[#This Row],[Salary]]-JanReport21[[#This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15" priority="1" operator="containsText" text="L">
      <formula>NOT(ISERROR(SEARCH("L",I7)))</formula>
    </cfRule>
    <cfRule type="containsText" dxfId="14" priority="2" operator="containsText" text="A">
      <formula>NOT(ISERROR(SEARCH("A",I7)))</formula>
    </cfRule>
    <cfRule type="containsText" dxfId="13" priority="3" operator="containsText" text="P">
      <formula>NOT(ISERROR(SEARCH("P",I7)))</formula>
    </cfRule>
    <cfRule type="containsText" dxfId="12" priority="4" operator="containsText" text="WO">
      <formula>NOT(ISERROR(SEARCH("WO",I7)))</formula>
    </cfRule>
  </conditionalFormatting>
  <dataValidations count="1">
    <dataValidation type="list" allowBlank="1" showInputMessage="1" showErrorMessage="1" sqref="AD7:AI26 I7:N26 P7:U26 W7:AB26 AK7:AM26" xr:uid="{29605555-0C72-43E2-9DD0-2233D626C803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A61362-90D8-4916-BF22-1FEBF5872DDA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F0E6C30-750B-4C63-AED3-A5139F06F6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Sep!AU7:AW7</xm:f>
              <xm:sqref>BE7</xm:sqref>
            </x14:sparkline>
            <x14:sparkline>
              <xm:f>Sep!AU8:AW8</xm:f>
              <xm:sqref>BE8</xm:sqref>
            </x14:sparkline>
            <x14:sparkline>
              <xm:f>Sep!AU9:AW9</xm:f>
              <xm:sqref>BE9</xm:sqref>
            </x14:sparkline>
            <x14:sparkline>
              <xm:f>Sep!AU10:AW10</xm:f>
              <xm:sqref>BE10</xm:sqref>
            </x14:sparkline>
            <x14:sparkline>
              <xm:f>Sep!AU11:AW11</xm:f>
              <xm:sqref>BE11</xm:sqref>
            </x14:sparkline>
            <x14:sparkline>
              <xm:f>Sep!AU12:AW12</xm:f>
              <xm:sqref>BE12</xm:sqref>
            </x14:sparkline>
            <x14:sparkline>
              <xm:f>Sep!AU13:AW13</xm:f>
              <xm:sqref>BE13</xm:sqref>
            </x14:sparkline>
            <x14:sparkline>
              <xm:f>Sep!AU14:AW14</xm:f>
              <xm:sqref>BE14</xm:sqref>
            </x14:sparkline>
            <x14:sparkline>
              <xm:f>Sep!AU15:AW15</xm:f>
              <xm:sqref>BE15</xm:sqref>
            </x14:sparkline>
            <x14:sparkline>
              <xm:f>Sep!AU16:AW16</xm:f>
              <xm:sqref>BE16</xm:sqref>
            </x14:sparkline>
            <x14:sparkline>
              <xm:f>Sep!AU17:AW17</xm:f>
              <xm:sqref>BE17</xm:sqref>
            </x14:sparkline>
            <x14:sparkline>
              <xm:f>Sep!AU18:AW18</xm:f>
              <xm:sqref>BE18</xm:sqref>
            </x14:sparkline>
            <x14:sparkline>
              <xm:f>Sep!AU19:AW19</xm:f>
              <xm:sqref>BE19</xm:sqref>
            </x14:sparkline>
            <x14:sparkline>
              <xm:f>Sep!AU20:AW20</xm:f>
              <xm:sqref>BE20</xm:sqref>
            </x14:sparkline>
            <x14:sparkline>
              <xm:f>Sep!AU21:AW21</xm:f>
              <xm:sqref>BE21</xm:sqref>
            </x14:sparkline>
            <x14:sparkline>
              <xm:f>Sep!AU22:AW22</xm:f>
              <xm:sqref>BE22</xm:sqref>
            </x14:sparkline>
            <x14:sparkline>
              <xm:f>Sep!AU23:AW23</xm:f>
              <xm:sqref>BE23</xm:sqref>
            </x14:sparkline>
            <x14:sparkline>
              <xm:f>Sep!AU24:AW24</xm:f>
              <xm:sqref>BE24</xm:sqref>
            </x14:sparkline>
            <x14:sparkline>
              <xm:f>Sep!AU25:AW25</xm:f>
              <xm:sqref>BE25</xm:sqref>
            </x14:sparkline>
            <x14:sparkline>
              <xm:f>Sep!AU26:AW26</xm:f>
              <xm:sqref>BE26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12A2-0A58-4F9B-8AA2-7D103891D974}">
  <dimension ref="A1:BI32"/>
  <sheetViews>
    <sheetView zoomScaleNormal="100" workbookViewId="0"/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45931</v>
      </c>
      <c r="G4" s="42" t="str">
        <f>TEXT(F4,"MMMM")</f>
        <v>October</v>
      </c>
      <c r="H4" s="44">
        <f>(DATEDIF(F4,J4,"D"))+1</f>
        <v>31</v>
      </c>
      <c r="I4" s="42" t="s">
        <v>26</v>
      </c>
      <c r="J4" s="47">
        <f>EOMONTH(F4,0)</f>
        <v>45961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Wed</v>
      </c>
      <c r="J5" s="13" t="str">
        <f t="shared" ref="J5:AM5" si="0">TEXT(J6,"ddd")</f>
        <v>Thu</v>
      </c>
      <c r="K5" s="13" t="str">
        <f t="shared" si="0"/>
        <v>Fri</v>
      </c>
      <c r="L5" s="13" t="str">
        <f t="shared" si="0"/>
        <v>Sat</v>
      </c>
      <c r="M5" s="13" t="str">
        <f t="shared" si="0"/>
        <v>Sun</v>
      </c>
      <c r="N5" s="13" t="str">
        <f t="shared" si="0"/>
        <v>Mon</v>
      </c>
      <c r="O5" s="13" t="str">
        <f t="shared" si="0"/>
        <v>Tue</v>
      </c>
      <c r="P5" s="13" t="str">
        <f t="shared" si="0"/>
        <v>Wed</v>
      </c>
      <c r="Q5" s="13" t="str">
        <f t="shared" si="0"/>
        <v>Thu</v>
      </c>
      <c r="R5" s="13" t="str">
        <f t="shared" si="0"/>
        <v>Fri</v>
      </c>
      <c r="S5" s="13" t="str">
        <f t="shared" si="0"/>
        <v>Sat</v>
      </c>
      <c r="T5" s="13" t="str">
        <f t="shared" si="0"/>
        <v>Sun</v>
      </c>
      <c r="U5" s="13" t="str">
        <f t="shared" si="0"/>
        <v>Mon</v>
      </c>
      <c r="V5" s="13" t="str">
        <f t="shared" si="0"/>
        <v>Tue</v>
      </c>
      <c r="W5" s="13" t="str">
        <f t="shared" si="0"/>
        <v>Wed</v>
      </c>
      <c r="X5" s="13" t="str">
        <f t="shared" si="0"/>
        <v>Thu</v>
      </c>
      <c r="Y5" s="13" t="str">
        <f t="shared" si="0"/>
        <v>Fri</v>
      </c>
      <c r="Z5" s="13" t="str">
        <f t="shared" si="0"/>
        <v>Sat</v>
      </c>
      <c r="AA5" s="13" t="str">
        <f t="shared" si="0"/>
        <v>Sun</v>
      </c>
      <c r="AB5" s="13" t="str">
        <f t="shared" si="0"/>
        <v>Mon</v>
      </c>
      <c r="AC5" s="13" t="str">
        <f t="shared" si="0"/>
        <v>Tue</v>
      </c>
      <c r="AD5" s="13" t="str">
        <f t="shared" si="0"/>
        <v>Wed</v>
      </c>
      <c r="AE5" s="13" t="str">
        <f t="shared" si="0"/>
        <v>Thu</v>
      </c>
      <c r="AF5" s="13" t="str">
        <f t="shared" si="0"/>
        <v>Fri</v>
      </c>
      <c r="AG5" s="13" t="str">
        <f t="shared" si="0"/>
        <v>Sat</v>
      </c>
      <c r="AH5" s="13" t="str">
        <f t="shared" si="0"/>
        <v>Sun</v>
      </c>
      <c r="AI5" s="13" t="str">
        <f t="shared" si="0"/>
        <v>Mon</v>
      </c>
      <c r="AJ5" s="13" t="str">
        <f t="shared" si="0"/>
        <v>Tue</v>
      </c>
      <c r="AK5" s="13" t="str">
        <f t="shared" si="0"/>
        <v>Wed</v>
      </c>
      <c r="AL5" s="13" t="str">
        <f t="shared" si="0"/>
        <v>Thu</v>
      </c>
      <c r="AM5" s="14" t="str">
        <f t="shared" si="0"/>
        <v>Fri</v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45931</v>
      </c>
      <c r="J6" s="34">
        <f>IF(I6&lt;$J$4,I6+1,"")</f>
        <v>45932</v>
      </c>
      <c r="K6" s="34">
        <f t="shared" ref="K6:AM6" si="1">IF(J6&lt;$J$4,J6+1,"")</f>
        <v>45933</v>
      </c>
      <c r="L6" s="34">
        <f t="shared" si="1"/>
        <v>45934</v>
      </c>
      <c r="M6" s="34">
        <f t="shared" si="1"/>
        <v>45935</v>
      </c>
      <c r="N6" s="34">
        <f t="shared" si="1"/>
        <v>45936</v>
      </c>
      <c r="O6" s="34">
        <f t="shared" si="1"/>
        <v>45937</v>
      </c>
      <c r="P6" s="34">
        <f t="shared" si="1"/>
        <v>45938</v>
      </c>
      <c r="Q6" s="34">
        <f t="shared" si="1"/>
        <v>45939</v>
      </c>
      <c r="R6" s="34">
        <f t="shared" si="1"/>
        <v>45940</v>
      </c>
      <c r="S6" s="34">
        <f t="shared" si="1"/>
        <v>45941</v>
      </c>
      <c r="T6" s="34">
        <f t="shared" si="1"/>
        <v>45942</v>
      </c>
      <c r="U6" s="34">
        <f t="shared" si="1"/>
        <v>45943</v>
      </c>
      <c r="V6" s="34">
        <f t="shared" si="1"/>
        <v>45944</v>
      </c>
      <c r="W6" s="34">
        <f t="shared" si="1"/>
        <v>45945</v>
      </c>
      <c r="X6" s="34">
        <f t="shared" si="1"/>
        <v>45946</v>
      </c>
      <c r="Y6" s="34">
        <f t="shared" si="1"/>
        <v>45947</v>
      </c>
      <c r="Z6" s="34">
        <f t="shared" si="1"/>
        <v>45948</v>
      </c>
      <c r="AA6" s="34">
        <f t="shared" si="1"/>
        <v>45949</v>
      </c>
      <c r="AB6" s="34">
        <f t="shared" si="1"/>
        <v>45950</v>
      </c>
      <c r="AC6" s="34">
        <f t="shared" si="1"/>
        <v>45951</v>
      </c>
      <c r="AD6" s="34">
        <f t="shared" si="1"/>
        <v>45952</v>
      </c>
      <c r="AE6" s="34">
        <f t="shared" si="1"/>
        <v>45953</v>
      </c>
      <c r="AF6" s="34">
        <f t="shared" si="1"/>
        <v>45954</v>
      </c>
      <c r="AG6" s="34">
        <f t="shared" si="1"/>
        <v>45955</v>
      </c>
      <c r="AH6" s="34">
        <f t="shared" si="1"/>
        <v>45956</v>
      </c>
      <c r="AI6" s="34">
        <f t="shared" si="1"/>
        <v>45957</v>
      </c>
      <c r="AJ6" s="34">
        <f t="shared" si="1"/>
        <v>45958</v>
      </c>
      <c r="AK6" s="34">
        <f t="shared" si="1"/>
        <v>45959</v>
      </c>
      <c r="AL6" s="34">
        <f t="shared" si="1"/>
        <v>45960</v>
      </c>
      <c r="AM6" s="36">
        <f t="shared" si="1"/>
        <v>45961</v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4</v>
      </c>
      <c r="I7" s="15" t="s">
        <v>41</v>
      </c>
      <c r="J7" s="15" t="s">
        <v>41</v>
      </c>
      <c r="K7" s="15" t="s">
        <v>41</v>
      </c>
      <c r="L7" s="15" t="s">
        <v>41</v>
      </c>
      <c r="M7" s="15" t="str">
        <f t="shared" ref="M7:T22" si="3">IF(M$5="Sun","WO","")</f>
        <v>WO</v>
      </c>
      <c r="N7" s="15" t="s">
        <v>41</v>
      </c>
      <c r="O7" s="15" t="s">
        <v>41</v>
      </c>
      <c r="P7" s="15" t="s">
        <v>41</v>
      </c>
      <c r="Q7" s="15" t="s">
        <v>41</v>
      </c>
      <c r="R7" s="15" t="s">
        <v>41</v>
      </c>
      <c r="S7" s="15" t="s">
        <v>41</v>
      </c>
      <c r="T7" s="15" t="str">
        <f t="shared" si="3"/>
        <v>WO</v>
      </c>
      <c r="U7" s="15" t="s">
        <v>41</v>
      </c>
      <c r="V7" s="15" t="s">
        <v>41</v>
      </c>
      <c r="W7" s="15" t="s">
        <v>41</v>
      </c>
      <c r="X7" s="15" t="s">
        <v>41</v>
      </c>
      <c r="Y7" s="15" t="s">
        <v>41</v>
      </c>
      <c r="Z7" s="15" t="s">
        <v>41</v>
      </c>
      <c r="AA7" s="15" t="str">
        <f t="shared" ref="AA7:AH22" si="4">IF(AA$5="Sun","WO","")</f>
        <v>WO</v>
      </c>
      <c r="AB7" s="15" t="s">
        <v>41</v>
      </c>
      <c r="AC7" s="15" t="s">
        <v>41</v>
      </c>
      <c r="AD7" s="15" t="s">
        <v>41</v>
      </c>
      <c r="AE7" s="15" t="s">
        <v>41</v>
      </c>
      <c r="AF7" s="15" t="s">
        <v>41</v>
      </c>
      <c r="AG7" s="15" t="s">
        <v>41</v>
      </c>
      <c r="AH7" s="15" t="str">
        <f t="shared" si="4"/>
        <v>WO</v>
      </c>
      <c r="AI7" s="15" t="s">
        <v>41</v>
      </c>
      <c r="AJ7" s="15" t="s">
        <v>41</v>
      </c>
      <c r="AK7" s="15" t="s">
        <v>41</v>
      </c>
      <c r="AL7" s="15" t="s">
        <v>41</v>
      </c>
      <c r="AM7" s="16" t="s">
        <v>41</v>
      </c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October</v>
      </c>
      <c r="AT7" s="7">
        <v>10001</v>
      </c>
      <c r="AU7" s="21">
        <f t="shared" ref="AU7:AU26" si="6">COUNTIF($I7:$AM7,"P")</f>
        <v>27</v>
      </c>
      <c r="AV7" s="21">
        <f t="shared" ref="AV7:AV26" si="7">COUNTIF($I7:$AM7,"A")</f>
        <v>0</v>
      </c>
      <c r="AW7" s="21">
        <f t="shared" ref="AW7:AW26" si="8">COUNTIF($I7:$AM7,"L")</f>
        <v>0</v>
      </c>
      <c r="AX7" s="21">
        <f t="shared" ref="AX7:AX26" si="9">$H$7</f>
        <v>4</v>
      </c>
      <c r="AY7" s="22">
        <f t="shared" ref="AY7:AY26" si="10">$H$4</f>
        <v>31</v>
      </c>
      <c r="AZ7" s="22">
        <f>JanReport22[[#This Row],[Days]]-JanReport22[[#This Row],[Abesent]]</f>
        <v>31</v>
      </c>
      <c r="BA7" s="23">
        <v>10000</v>
      </c>
      <c r="BB7" s="24">
        <f>JanReport22[[#This Row],[Salary]]/JanReport22[[#This Row],[Days]]</f>
        <v>322.58064516129031</v>
      </c>
      <c r="BC7" s="24">
        <f>JanReport22[[#This Row],[PerDaySalary]]*JanReport22[[#This Row],[Abesent]]</f>
        <v>0</v>
      </c>
      <c r="BD7" s="24">
        <f>JanReport22[[#This Row],[Salary]]-JanReport22[[#This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4</v>
      </c>
      <c r="I8" s="15" t="s">
        <v>41</v>
      </c>
      <c r="J8" s="15" t="s">
        <v>41</v>
      </c>
      <c r="K8" s="15" t="s">
        <v>41</v>
      </c>
      <c r="L8" s="15" t="s">
        <v>41</v>
      </c>
      <c r="M8" s="15" t="str">
        <f t="shared" si="3"/>
        <v>WO</v>
      </c>
      <c r="N8" s="15" t="s">
        <v>41</v>
      </c>
      <c r="O8" s="15" t="s">
        <v>41</v>
      </c>
      <c r="P8" s="15" t="s">
        <v>41</v>
      </c>
      <c r="Q8" s="15" t="s">
        <v>41</v>
      </c>
      <c r="R8" s="15" t="s">
        <v>41</v>
      </c>
      <c r="S8" s="15" t="s">
        <v>41</v>
      </c>
      <c r="T8" s="15" t="str">
        <f t="shared" si="3"/>
        <v>WO</v>
      </c>
      <c r="U8" s="15" t="s">
        <v>41</v>
      </c>
      <c r="V8" s="15" t="s">
        <v>41</v>
      </c>
      <c r="W8" s="15" t="s">
        <v>41</v>
      </c>
      <c r="X8" s="15" t="s">
        <v>41</v>
      </c>
      <c r="Y8" s="15" t="s">
        <v>41</v>
      </c>
      <c r="Z8" s="15" t="s">
        <v>41</v>
      </c>
      <c r="AA8" s="15" t="str">
        <f t="shared" si="4"/>
        <v>WO</v>
      </c>
      <c r="AB8" s="15" t="s">
        <v>41</v>
      </c>
      <c r="AC8" s="15" t="s">
        <v>41</v>
      </c>
      <c r="AD8" s="15" t="s">
        <v>41</v>
      </c>
      <c r="AE8" s="15" t="s">
        <v>41</v>
      </c>
      <c r="AF8" s="15" t="s">
        <v>41</v>
      </c>
      <c r="AG8" s="15" t="s">
        <v>41</v>
      </c>
      <c r="AH8" s="15" t="str">
        <f t="shared" si="4"/>
        <v>WO</v>
      </c>
      <c r="AI8" s="15" t="s">
        <v>41</v>
      </c>
      <c r="AJ8" s="15" t="s">
        <v>41</v>
      </c>
      <c r="AK8" s="15" t="s">
        <v>41</v>
      </c>
      <c r="AL8" s="15" t="s">
        <v>41</v>
      </c>
      <c r="AM8" s="16" t="s">
        <v>41</v>
      </c>
      <c r="AN8" s="41"/>
      <c r="AO8" s="41"/>
      <c r="AP8" s="31"/>
      <c r="AQ8" s="9">
        <v>2</v>
      </c>
      <c r="AR8" s="9" t="s">
        <v>4</v>
      </c>
      <c r="AS8" s="9" t="str">
        <f t="shared" si="5"/>
        <v>October</v>
      </c>
      <c r="AT8" s="10">
        <v>10002</v>
      </c>
      <c r="AU8" s="15">
        <f t="shared" si="6"/>
        <v>27</v>
      </c>
      <c r="AV8" s="15">
        <f t="shared" si="7"/>
        <v>0</v>
      </c>
      <c r="AW8" s="15">
        <f t="shared" si="8"/>
        <v>0</v>
      </c>
      <c r="AX8" s="15">
        <f t="shared" si="9"/>
        <v>4</v>
      </c>
      <c r="AY8" s="25">
        <f t="shared" si="10"/>
        <v>31</v>
      </c>
      <c r="AZ8" s="25">
        <f>JanReport22[[#This Row],[Days]]-JanReport22[[#This Row],[Abesent]]</f>
        <v>31</v>
      </c>
      <c r="BA8" s="26">
        <v>15000</v>
      </c>
      <c r="BB8" s="27">
        <f>JanReport22[[#This Row],[Salary]]/JanReport22[[#This Row],[Days]]</f>
        <v>483.87096774193549</v>
      </c>
      <c r="BC8" s="27">
        <f>JanReport22[[#This Row],[PerDaySalary]]*JanReport22[[#This Row],[Abesent]]</f>
        <v>0</v>
      </c>
      <c r="BD8" s="27">
        <f>JanReport22[[#This Row],[Salary]]-JanReport22[[#This Row],[Deduction]]</f>
        <v>15000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4</v>
      </c>
      <c r="I9" s="15" t="s">
        <v>41</v>
      </c>
      <c r="J9" s="15" t="s">
        <v>41</v>
      </c>
      <c r="K9" s="15" t="s">
        <v>41</v>
      </c>
      <c r="L9" s="15" t="s">
        <v>41</v>
      </c>
      <c r="M9" s="15" t="str">
        <f t="shared" si="3"/>
        <v>WO</v>
      </c>
      <c r="N9" s="15" t="s">
        <v>41</v>
      </c>
      <c r="O9" s="15" t="s">
        <v>41</v>
      </c>
      <c r="P9" s="15" t="s">
        <v>41</v>
      </c>
      <c r="Q9" s="15" t="s">
        <v>41</v>
      </c>
      <c r="R9" s="15" t="s">
        <v>41</v>
      </c>
      <c r="S9" s="15" t="s">
        <v>41</v>
      </c>
      <c r="T9" s="15" t="str">
        <f t="shared" si="3"/>
        <v>WO</v>
      </c>
      <c r="U9" s="15" t="s">
        <v>41</v>
      </c>
      <c r="V9" s="15" t="s">
        <v>41</v>
      </c>
      <c r="W9" s="15" t="s">
        <v>41</v>
      </c>
      <c r="X9" s="15" t="s">
        <v>41</v>
      </c>
      <c r="Y9" s="15" t="s">
        <v>41</v>
      </c>
      <c r="Z9" s="15" t="s">
        <v>41</v>
      </c>
      <c r="AA9" s="15" t="str">
        <f t="shared" si="4"/>
        <v>WO</v>
      </c>
      <c r="AB9" s="15" t="s">
        <v>41</v>
      </c>
      <c r="AC9" s="15" t="s">
        <v>41</v>
      </c>
      <c r="AD9" s="15" t="s">
        <v>41</v>
      </c>
      <c r="AE9" s="15" t="s">
        <v>41</v>
      </c>
      <c r="AF9" s="15" t="s">
        <v>41</v>
      </c>
      <c r="AG9" s="15" t="s">
        <v>41</v>
      </c>
      <c r="AH9" s="15" t="str">
        <f t="shared" si="4"/>
        <v>WO</v>
      </c>
      <c r="AI9" s="15" t="s">
        <v>41</v>
      </c>
      <c r="AJ9" s="15" t="s">
        <v>41</v>
      </c>
      <c r="AK9" s="15" t="s">
        <v>41</v>
      </c>
      <c r="AL9" s="15" t="s">
        <v>41</v>
      </c>
      <c r="AM9" s="16" t="s">
        <v>41</v>
      </c>
      <c r="AN9" s="41"/>
      <c r="AO9" s="41"/>
      <c r="AP9" s="30"/>
      <c r="AQ9" s="9">
        <v>3</v>
      </c>
      <c r="AR9" s="9" t="s">
        <v>5</v>
      </c>
      <c r="AS9" s="9" t="str">
        <f t="shared" si="5"/>
        <v>October</v>
      </c>
      <c r="AT9" s="10">
        <v>10003</v>
      </c>
      <c r="AU9" s="15">
        <f t="shared" si="6"/>
        <v>27</v>
      </c>
      <c r="AV9" s="15">
        <f t="shared" si="7"/>
        <v>0</v>
      </c>
      <c r="AW9" s="15">
        <f t="shared" si="8"/>
        <v>0</v>
      </c>
      <c r="AX9" s="15">
        <f t="shared" si="9"/>
        <v>4</v>
      </c>
      <c r="AY9" s="25">
        <f t="shared" si="10"/>
        <v>31</v>
      </c>
      <c r="AZ9" s="25">
        <f>JanReport22[[#This Row],[Days]]-JanReport22[[#This Row],[Abesent]]</f>
        <v>31</v>
      </c>
      <c r="BA9" s="26">
        <v>20000</v>
      </c>
      <c r="BB9" s="27">
        <f>JanReport22[[#This Row],[Salary]]/JanReport22[[#This Row],[Days]]</f>
        <v>645.16129032258061</v>
      </c>
      <c r="BC9" s="27">
        <f>JanReport22[[#This Row],[PerDaySalary]]*JanReport22[[#This Row],[Abesent]]</f>
        <v>0</v>
      </c>
      <c r="BD9" s="27">
        <f>JanReport22[[#This Row],[Salary]]-JanReport22[[#This Row],[Deduction]]</f>
        <v>20000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4</v>
      </c>
      <c r="I10" s="15" t="s">
        <v>41</v>
      </c>
      <c r="J10" s="45" t="s">
        <v>43</v>
      </c>
      <c r="K10" s="15" t="s">
        <v>41</v>
      </c>
      <c r="L10" s="15" t="s">
        <v>41</v>
      </c>
      <c r="M10" s="15" t="str">
        <f t="shared" si="3"/>
        <v>WO</v>
      </c>
      <c r="N10" s="15" t="s">
        <v>41</v>
      </c>
      <c r="O10" s="15" t="s">
        <v>41</v>
      </c>
      <c r="P10" s="15" t="s">
        <v>41</v>
      </c>
      <c r="Q10" s="45" t="s">
        <v>43</v>
      </c>
      <c r="R10" s="15" t="s">
        <v>41</v>
      </c>
      <c r="S10" s="15" t="s">
        <v>41</v>
      </c>
      <c r="T10" s="15" t="str">
        <f t="shared" si="3"/>
        <v>WO</v>
      </c>
      <c r="U10" s="15" t="s">
        <v>41</v>
      </c>
      <c r="V10" s="15" t="s">
        <v>41</v>
      </c>
      <c r="W10" s="15" t="s">
        <v>41</v>
      </c>
      <c r="X10" s="45" t="s">
        <v>43</v>
      </c>
      <c r="Y10" s="15" t="s">
        <v>41</v>
      </c>
      <c r="Z10" s="15" t="s">
        <v>41</v>
      </c>
      <c r="AA10" s="15" t="str">
        <f t="shared" si="4"/>
        <v>WO</v>
      </c>
      <c r="AB10" s="15" t="s">
        <v>41</v>
      </c>
      <c r="AC10" s="15" t="s">
        <v>41</v>
      </c>
      <c r="AD10" s="15" t="s">
        <v>41</v>
      </c>
      <c r="AE10" s="45" t="s">
        <v>43</v>
      </c>
      <c r="AF10" s="15" t="s">
        <v>41</v>
      </c>
      <c r="AG10" s="15" t="s">
        <v>41</v>
      </c>
      <c r="AH10" s="15" t="str">
        <f t="shared" si="4"/>
        <v>WO</v>
      </c>
      <c r="AI10" s="15" t="s">
        <v>41</v>
      </c>
      <c r="AJ10" s="15" t="s">
        <v>41</v>
      </c>
      <c r="AK10" s="45" t="s">
        <v>43</v>
      </c>
      <c r="AL10" s="15" t="s">
        <v>41</v>
      </c>
      <c r="AM10" s="16" t="s">
        <v>41</v>
      </c>
      <c r="AN10" s="41"/>
      <c r="AO10" s="41"/>
      <c r="AP10" s="30"/>
      <c r="AQ10" s="9">
        <v>4</v>
      </c>
      <c r="AR10" s="9" t="s">
        <v>6</v>
      </c>
      <c r="AS10" s="9" t="str">
        <f t="shared" si="5"/>
        <v>October</v>
      </c>
      <c r="AT10" s="10">
        <v>10004</v>
      </c>
      <c r="AU10" s="15">
        <f t="shared" si="6"/>
        <v>22</v>
      </c>
      <c r="AV10" s="15">
        <f t="shared" si="7"/>
        <v>0</v>
      </c>
      <c r="AW10" s="15">
        <f t="shared" si="8"/>
        <v>5</v>
      </c>
      <c r="AX10" s="15">
        <f t="shared" si="9"/>
        <v>4</v>
      </c>
      <c r="AY10" s="25">
        <f t="shared" si="10"/>
        <v>31</v>
      </c>
      <c r="AZ10" s="25">
        <f>JanReport22[[#This Row],[Days]]-JanReport22[[#This Row],[Abesent]]</f>
        <v>31</v>
      </c>
      <c r="BA10" s="26">
        <v>21000</v>
      </c>
      <c r="BB10" s="27">
        <f>JanReport22[[#This Row],[Salary]]/JanReport22[[#This Row],[Days]]</f>
        <v>677.41935483870964</v>
      </c>
      <c r="BC10" s="27">
        <f>JanReport22[[#This Row],[PerDaySalary]]*JanReport22[[#This Row],[Abesent]]</f>
        <v>0</v>
      </c>
      <c r="BD10" s="27">
        <f>JanReport22[[#This Row],[Salary]]-JanReport22[[#This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4</v>
      </c>
      <c r="I11" s="15" t="s">
        <v>41</v>
      </c>
      <c r="J11" s="15" t="s">
        <v>41</v>
      </c>
      <c r="K11" s="15" t="s">
        <v>41</v>
      </c>
      <c r="L11" s="15" t="s">
        <v>41</v>
      </c>
      <c r="M11" s="15" t="str">
        <f t="shared" si="3"/>
        <v>WO</v>
      </c>
      <c r="N11" s="15" t="s">
        <v>41</v>
      </c>
      <c r="O11" s="15" t="s">
        <v>41</v>
      </c>
      <c r="P11" s="15" t="s">
        <v>41</v>
      </c>
      <c r="Q11" s="15" t="s">
        <v>41</v>
      </c>
      <c r="R11" s="15" t="s">
        <v>41</v>
      </c>
      <c r="S11" s="15" t="s">
        <v>41</v>
      </c>
      <c r="T11" s="15" t="str">
        <f t="shared" si="3"/>
        <v>WO</v>
      </c>
      <c r="U11" s="15" t="s">
        <v>41</v>
      </c>
      <c r="V11" s="15" t="s">
        <v>41</v>
      </c>
      <c r="W11" s="15" t="s">
        <v>41</v>
      </c>
      <c r="X11" s="15" t="s">
        <v>41</v>
      </c>
      <c r="Y11" s="15" t="s">
        <v>41</v>
      </c>
      <c r="Z11" s="15" t="s">
        <v>41</v>
      </c>
      <c r="AA11" s="15" t="str">
        <f t="shared" si="4"/>
        <v>WO</v>
      </c>
      <c r="AB11" s="15" t="s">
        <v>41</v>
      </c>
      <c r="AC11" s="15" t="s">
        <v>41</v>
      </c>
      <c r="AD11" s="15" t="s">
        <v>41</v>
      </c>
      <c r="AE11" s="15" t="s">
        <v>41</v>
      </c>
      <c r="AF11" s="15" t="s">
        <v>41</v>
      </c>
      <c r="AG11" s="15" t="s">
        <v>41</v>
      </c>
      <c r="AH11" s="15" t="str">
        <f t="shared" si="4"/>
        <v>WO</v>
      </c>
      <c r="AI11" s="15" t="s">
        <v>41</v>
      </c>
      <c r="AJ11" s="15" t="s">
        <v>41</v>
      </c>
      <c r="AK11" s="15" t="s">
        <v>41</v>
      </c>
      <c r="AL11" s="15" t="s">
        <v>41</v>
      </c>
      <c r="AM11" s="16" t="s">
        <v>41</v>
      </c>
      <c r="AN11" s="41"/>
      <c r="AO11" s="41"/>
      <c r="AP11" s="30"/>
      <c r="AQ11" s="9">
        <v>5</v>
      </c>
      <c r="AR11" s="9" t="s">
        <v>7</v>
      </c>
      <c r="AS11" s="9" t="str">
        <f t="shared" si="5"/>
        <v>October</v>
      </c>
      <c r="AT11" s="10">
        <v>10005</v>
      </c>
      <c r="AU11" s="15">
        <f t="shared" si="6"/>
        <v>27</v>
      </c>
      <c r="AV11" s="15">
        <f t="shared" si="7"/>
        <v>0</v>
      </c>
      <c r="AW11" s="15">
        <f t="shared" si="8"/>
        <v>0</v>
      </c>
      <c r="AX11" s="15">
        <f t="shared" si="9"/>
        <v>4</v>
      </c>
      <c r="AY11" s="25">
        <f t="shared" si="10"/>
        <v>31</v>
      </c>
      <c r="AZ11" s="25">
        <f>JanReport22[[#This Row],[Days]]-JanReport22[[#This Row],[Abesent]]</f>
        <v>31</v>
      </c>
      <c r="BA11" s="26">
        <v>18000</v>
      </c>
      <c r="BB11" s="27">
        <f>JanReport22[[#This Row],[Salary]]/JanReport22[[#This Row],[Days]]</f>
        <v>580.64516129032256</v>
      </c>
      <c r="BC11" s="27">
        <f>JanReport22[[#This Row],[PerDaySalary]]*JanReport22[[#This Row],[Abesent]]</f>
        <v>0</v>
      </c>
      <c r="BD11" s="27">
        <f>JanReport22[[#This Row],[Salary]]-JanReport22[[#This Row],[Deduction]]</f>
        <v>18000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4</v>
      </c>
      <c r="I12" s="15" t="s">
        <v>41</v>
      </c>
      <c r="J12" s="15" t="s">
        <v>41</v>
      </c>
      <c r="K12" s="15" t="s">
        <v>41</v>
      </c>
      <c r="L12" s="15" t="s">
        <v>41</v>
      </c>
      <c r="M12" s="15" t="str">
        <f t="shared" si="3"/>
        <v>WO</v>
      </c>
      <c r="N12" s="15" t="s">
        <v>41</v>
      </c>
      <c r="O12" s="15" t="s">
        <v>41</v>
      </c>
      <c r="P12" s="15" t="s">
        <v>41</v>
      </c>
      <c r="Q12" s="15" t="s">
        <v>41</v>
      </c>
      <c r="R12" s="15" t="s">
        <v>41</v>
      </c>
      <c r="S12" s="15" t="s">
        <v>41</v>
      </c>
      <c r="T12" s="15" t="str">
        <f t="shared" si="3"/>
        <v>WO</v>
      </c>
      <c r="U12" s="15" t="s">
        <v>41</v>
      </c>
      <c r="V12" s="15" t="s">
        <v>41</v>
      </c>
      <c r="W12" s="15" t="s">
        <v>41</v>
      </c>
      <c r="X12" s="15" t="s">
        <v>41</v>
      </c>
      <c r="Y12" s="15" t="s">
        <v>41</v>
      </c>
      <c r="Z12" s="15" t="s">
        <v>41</v>
      </c>
      <c r="AA12" s="15" t="str">
        <f t="shared" si="4"/>
        <v>WO</v>
      </c>
      <c r="AB12" s="15" t="s">
        <v>41</v>
      </c>
      <c r="AC12" s="15" t="s">
        <v>41</v>
      </c>
      <c r="AD12" s="15" t="s">
        <v>41</v>
      </c>
      <c r="AE12" s="15" t="s">
        <v>41</v>
      </c>
      <c r="AF12" s="15" t="s">
        <v>41</v>
      </c>
      <c r="AG12" s="15" t="s">
        <v>41</v>
      </c>
      <c r="AH12" s="15" t="str">
        <f t="shared" si="4"/>
        <v>WO</v>
      </c>
      <c r="AI12" s="15" t="s">
        <v>41</v>
      </c>
      <c r="AJ12" s="15" t="s">
        <v>41</v>
      </c>
      <c r="AK12" s="15" t="s">
        <v>41</v>
      </c>
      <c r="AL12" s="15" t="s">
        <v>41</v>
      </c>
      <c r="AM12" s="16" t="s">
        <v>41</v>
      </c>
      <c r="AN12" s="41"/>
      <c r="AO12" s="41"/>
      <c r="AP12" s="30"/>
      <c r="AQ12" s="9">
        <v>6</v>
      </c>
      <c r="AR12" s="9" t="s">
        <v>8</v>
      </c>
      <c r="AS12" s="9" t="str">
        <f t="shared" si="5"/>
        <v>October</v>
      </c>
      <c r="AT12" s="10">
        <v>10006</v>
      </c>
      <c r="AU12" s="15">
        <f t="shared" si="6"/>
        <v>27</v>
      </c>
      <c r="AV12" s="15">
        <f t="shared" si="7"/>
        <v>0</v>
      </c>
      <c r="AW12" s="15">
        <f t="shared" si="8"/>
        <v>0</v>
      </c>
      <c r="AX12" s="15">
        <f t="shared" si="9"/>
        <v>4</v>
      </c>
      <c r="AY12" s="25">
        <f t="shared" si="10"/>
        <v>31</v>
      </c>
      <c r="AZ12" s="25">
        <f>JanReport22[[#This Row],[Days]]-JanReport22[[#This Row],[Abesent]]</f>
        <v>31</v>
      </c>
      <c r="BA12" s="26">
        <v>17000</v>
      </c>
      <c r="BB12" s="27">
        <f>JanReport22[[#This Row],[Salary]]/JanReport22[[#This Row],[Days]]</f>
        <v>548.38709677419354</v>
      </c>
      <c r="BC12" s="27">
        <f>JanReport22[[#This Row],[PerDaySalary]]*JanReport22[[#This Row],[Abesent]]</f>
        <v>0</v>
      </c>
      <c r="BD12" s="27">
        <f>JanReport22[[#This Row],[Salary]]-JanReport22[[#This Row],[Deduction]]</f>
        <v>17000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4</v>
      </c>
      <c r="I13" s="15" t="s">
        <v>42</v>
      </c>
      <c r="J13" s="15" t="s">
        <v>41</v>
      </c>
      <c r="K13" s="15" t="s">
        <v>41</v>
      </c>
      <c r="L13" s="15" t="s">
        <v>41</v>
      </c>
      <c r="M13" s="15" t="str">
        <f t="shared" si="3"/>
        <v>WO</v>
      </c>
      <c r="N13" s="15" t="s">
        <v>41</v>
      </c>
      <c r="O13" s="15" t="s">
        <v>41</v>
      </c>
      <c r="P13" s="15" t="s">
        <v>42</v>
      </c>
      <c r="Q13" s="15" t="s">
        <v>41</v>
      </c>
      <c r="R13" s="15" t="s">
        <v>41</v>
      </c>
      <c r="S13" s="15" t="s">
        <v>41</v>
      </c>
      <c r="T13" s="15" t="str">
        <f t="shared" si="3"/>
        <v>WO</v>
      </c>
      <c r="U13" s="15" t="s">
        <v>41</v>
      </c>
      <c r="V13" s="15" t="s">
        <v>41</v>
      </c>
      <c r="W13" s="15" t="s">
        <v>42</v>
      </c>
      <c r="X13" s="15" t="s">
        <v>41</v>
      </c>
      <c r="Y13" s="15" t="s">
        <v>41</v>
      </c>
      <c r="Z13" s="15" t="s">
        <v>41</v>
      </c>
      <c r="AA13" s="15" t="str">
        <f t="shared" si="4"/>
        <v>WO</v>
      </c>
      <c r="AB13" s="15" t="s">
        <v>41</v>
      </c>
      <c r="AC13" s="15" t="s">
        <v>41</v>
      </c>
      <c r="AD13" s="15" t="s">
        <v>42</v>
      </c>
      <c r="AE13" s="15" t="s">
        <v>41</v>
      </c>
      <c r="AF13" s="15" t="s">
        <v>41</v>
      </c>
      <c r="AG13" s="15" t="s">
        <v>41</v>
      </c>
      <c r="AH13" s="15" t="str">
        <f t="shared" si="4"/>
        <v>WO</v>
      </c>
      <c r="AI13" s="15" t="s">
        <v>41</v>
      </c>
      <c r="AJ13" s="15" t="s">
        <v>42</v>
      </c>
      <c r="AK13" s="15" t="s">
        <v>41</v>
      </c>
      <c r="AL13" s="15" t="s">
        <v>41</v>
      </c>
      <c r="AM13" s="16" t="s">
        <v>41</v>
      </c>
      <c r="AN13" s="41"/>
      <c r="AO13" s="41"/>
      <c r="AP13" s="30"/>
      <c r="AQ13" s="9">
        <v>7</v>
      </c>
      <c r="AR13" s="9" t="s">
        <v>9</v>
      </c>
      <c r="AS13" s="9" t="str">
        <f t="shared" si="5"/>
        <v>October</v>
      </c>
      <c r="AT13" s="10">
        <v>10007</v>
      </c>
      <c r="AU13" s="15">
        <f t="shared" si="6"/>
        <v>22</v>
      </c>
      <c r="AV13" s="15">
        <f t="shared" si="7"/>
        <v>5</v>
      </c>
      <c r="AW13" s="15">
        <f t="shared" si="8"/>
        <v>0</v>
      </c>
      <c r="AX13" s="15">
        <f t="shared" si="9"/>
        <v>4</v>
      </c>
      <c r="AY13" s="25">
        <f t="shared" si="10"/>
        <v>31</v>
      </c>
      <c r="AZ13" s="25">
        <f>JanReport22[[#This Row],[Days]]-JanReport22[[#This Row],[Abesent]]</f>
        <v>26</v>
      </c>
      <c r="BA13" s="26">
        <v>15000</v>
      </c>
      <c r="BB13" s="27">
        <f>JanReport22[[#This Row],[Salary]]/JanReport22[[#This Row],[Days]]</f>
        <v>483.87096774193549</v>
      </c>
      <c r="BC13" s="27">
        <f>JanReport22[[#This Row],[PerDaySalary]]*JanReport22[[#This Row],[Abesent]]</f>
        <v>2419.3548387096776</v>
      </c>
      <c r="BD13" s="27">
        <f>JanReport22[[#This Row],[Salary]]-JanReport22[[#This Row],[Deduction]]</f>
        <v>12580.645161290322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4</v>
      </c>
      <c r="I14" s="15" t="s">
        <v>41</v>
      </c>
      <c r="J14" s="15" t="s">
        <v>41</v>
      </c>
      <c r="K14" s="15" t="s">
        <v>41</v>
      </c>
      <c r="L14" s="15" t="s">
        <v>41</v>
      </c>
      <c r="M14" s="15" t="str">
        <f t="shared" si="3"/>
        <v>WO</v>
      </c>
      <c r="N14" s="15" t="s">
        <v>41</v>
      </c>
      <c r="O14" s="15" t="s">
        <v>41</v>
      </c>
      <c r="P14" s="15" t="s">
        <v>41</v>
      </c>
      <c r="Q14" s="15" t="s">
        <v>41</v>
      </c>
      <c r="R14" s="15" t="s">
        <v>41</v>
      </c>
      <c r="S14" s="15" t="s">
        <v>41</v>
      </c>
      <c r="T14" s="15" t="str">
        <f t="shared" si="3"/>
        <v>WO</v>
      </c>
      <c r="U14" s="15" t="s">
        <v>41</v>
      </c>
      <c r="V14" s="15" t="s">
        <v>41</v>
      </c>
      <c r="W14" s="15" t="s">
        <v>41</v>
      </c>
      <c r="X14" s="15" t="s">
        <v>41</v>
      </c>
      <c r="Y14" s="15" t="s">
        <v>41</v>
      </c>
      <c r="Z14" s="15" t="s">
        <v>41</v>
      </c>
      <c r="AA14" s="15" t="str">
        <f t="shared" si="4"/>
        <v>WO</v>
      </c>
      <c r="AB14" s="15" t="s">
        <v>41</v>
      </c>
      <c r="AC14" s="15" t="s">
        <v>41</v>
      </c>
      <c r="AD14" s="15" t="s">
        <v>41</v>
      </c>
      <c r="AE14" s="15" t="s">
        <v>41</v>
      </c>
      <c r="AF14" s="15" t="s">
        <v>41</v>
      </c>
      <c r="AG14" s="15" t="s">
        <v>41</v>
      </c>
      <c r="AH14" s="15" t="str">
        <f t="shared" si="4"/>
        <v>WO</v>
      </c>
      <c r="AI14" s="15" t="s">
        <v>41</v>
      </c>
      <c r="AJ14" s="15" t="s">
        <v>41</v>
      </c>
      <c r="AK14" s="15" t="s">
        <v>41</v>
      </c>
      <c r="AL14" s="15" t="s">
        <v>41</v>
      </c>
      <c r="AM14" s="16" t="s">
        <v>41</v>
      </c>
      <c r="AN14" s="41"/>
      <c r="AO14" s="41"/>
      <c r="AP14" s="30"/>
      <c r="AQ14" s="9">
        <v>8</v>
      </c>
      <c r="AR14" s="9" t="s">
        <v>10</v>
      </c>
      <c r="AS14" s="9" t="str">
        <f t="shared" si="5"/>
        <v>October</v>
      </c>
      <c r="AT14" s="10">
        <v>10008</v>
      </c>
      <c r="AU14" s="15">
        <f t="shared" si="6"/>
        <v>27</v>
      </c>
      <c r="AV14" s="15">
        <f t="shared" si="7"/>
        <v>0</v>
      </c>
      <c r="AW14" s="15">
        <f t="shared" si="8"/>
        <v>0</v>
      </c>
      <c r="AX14" s="15">
        <f t="shared" si="9"/>
        <v>4</v>
      </c>
      <c r="AY14" s="25">
        <f t="shared" si="10"/>
        <v>31</v>
      </c>
      <c r="AZ14" s="25">
        <f>JanReport22[[#This Row],[Days]]-JanReport22[[#This Row],[Abesent]]</f>
        <v>31</v>
      </c>
      <c r="BA14" s="26">
        <v>21000</v>
      </c>
      <c r="BB14" s="27">
        <f>JanReport22[[#This Row],[Salary]]/JanReport22[[#This Row],[Days]]</f>
        <v>677.41935483870964</v>
      </c>
      <c r="BC14" s="27">
        <f>JanReport22[[#This Row],[PerDaySalary]]*JanReport22[[#This Row],[Abesent]]</f>
        <v>0</v>
      </c>
      <c r="BD14" s="27">
        <f>JanReport22[[#This Row],[Salary]]-JanReport22[[#This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4</v>
      </c>
      <c r="I15" s="15" t="s">
        <v>41</v>
      </c>
      <c r="J15" s="15" t="s">
        <v>41</v>
      </c>
      <c r="K15" s="15" t="s">
        <v>41</v>
      </c>
      <c r="L15" s="15" t="s">
        <v>41</v>
      </c>
      <c r="M15" s="15" t="str">
        <f t="shared" si="3"/>
        <v>WO</v>
      </c>
      <c r="N15" s="15" t="s">
        <v>41</v>
      </c>
      <c r="O15" s="15" t="s">
        <v>41</v>
      </c>
      <c r="P15" s="15" t="s">
        <v>41</v>
      </c>
      <c r="Q15" s="15" t="s">
        <v>41</v>
      </c>
      <c r="R15" s="15" t="s">
        <v>41</v>
      </c>
      <c r="S15" s="15" t="s">
        <v>41</v>
      </c>
      <c r="T15" s="15" t="str">
        <f t="shared" si="3"/>
        <v>WO</v>
      </c>
      <c r="U15" s="15" t="s">
        <v>41</v>
      </c>
      <c r="V15" s="15" t="s">
        <v>41</v>
      </c>
      <c r="W15" s="15" t="s">
        <v>41</v>
      </c>
      <c r="X15" s="15" t="s">
        <v>41</v>
      </c>
      <c r="Y15" s="15" t="s">
        <v>41</v>
      </c>
      <c r="Z15" s="15" t="s">
        <v>41</v>
      </c>
      <c r="AA15" s="15" t="str">
        <f t="shared" si="4"/>
        <v>WO</v>
      </c>
      <c r="AB15" s="15" t="s">
        <v>41</v>
      </c>
      <c r="AC15" s="15" t="s">
        <v>41</v>
      </c>
      <c r="AD15" s="15" t="s">
        <v>41</v>
      </c>
      <c r="AE15" s="15" t="s">
        <v>41</v>
      </c>
      <c r="AF15" s="15" t="s">
        <v>41</v>
      </c>
      <c r="AG15" s="15" t="s">
        <v>41</v>
      </c>
      <c r="AH15" s="15" t="str">
        <f t="shared" si="4"/>
        <v>WO</v>
      </c>
      <c r="AI15" s="15" t="s">
        <v>41</v>
      </c>
      <c r="AJ15" s="15" t="s">
        <v>41</v>
      </c>
      <c r="AK15" s="15" t="s">
        <v>41</v>
      </c>
      <c r="AL15" s="15" t="s">
        <v>41</v>
      </c>
      <c r="AM15" s="16" t="s">
        <v>41</v>
      </c>
      <c r="AN15" s="41"/>
      <c r="AO15" s="41"/>
      <c r="AP15" s="30"/>
      <c r="AQ15" s="9">
        <v>9</v>
      </c>
      <c r="AR15" s="9" t="s">
        <v>11</v>
      </c>
      <c r="AS15" s="9" t="str">
        <f t="shared" si="5"/>
        <v>October</v>
      </c>
      <c r="AT15" s="10">
        <v>10009</v>
      </c>
      <c r="AU15" s="15">
        <f t="shared" si="6"/>
        <v>27</v>
      </c>
      <c r="AV15" s="15">
        <f t="shared" si="7"/>
        <v>0</v>
      </c>
      <c r="AW15" s="15">
        <f t="shared" si="8"/>
        <v>0</v>
      </c>
      <c r="AX15" s="15">
        <f t="shared" si="9"/>
        <v>4</v>
      </c>
      <c r="AY15" s="25">
        <f t="shared" si="10"/>
        <v>31</v>
      </c>
      <c r="AZ15" s="25">
        <f>JanReport22[[#This Row],[Days]]-JanReport22[[#This Row],[Abesent]]</f>
        <v>31</v>
      </c>
      <c r="BA15" s="26">
        <v>22000</v>
      </c>
      <c r="BB15" s="27">
        <f>JanReport22[[#This Row],[Salary]]/JanReport22[[#This Row],[Days]]</f>
        <v>709.67741935483866</v>
      </c>
      <c r="BC15" s="27">
        <f>JanReport22[[#This Row],[PerDaySalary]]*JanReport22[[#This Row],[Abesent]]</f>
        <v>0</v>
      </c>
      <c r="BD15" s="27">
        <f>JanReport22[[#This Row],[Salary]]-JanReport22[[#This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4</v>
      </c>
      <c r="I16" s="15" t="s">
        <v>41</v>
      </c>
      <c r="J16" s="15" t="s">
        <v>41</v>
      </c>
      <c r="K16" s="15" t="s">
        <v>41</v>
      </c>
      <c r="L16" s="15" t="s">
        <v>41</v>
      </c>
      <c r="M16" s="15" t="str">
        <f t="shared" si="3"/>
        <v>WO</v>
      </c>
      <c r="N16" s="15" t="s">
        <v>41</v>
      </c>
      <c r="O16" s="15" t="s">
        <v>41</v>
      </c>
      <c r="P16" s="15" t="s">
        <v>41</v>
      </c>
      <c r="Q16" s="15" t="s">
        <v>41</v>
      </c>
      <c r="R16" s="15" t="s">
        <v>41</v>
      </c>
      <c r="S16" s="15" t="s">
        <v>41</v>
      </c>
      <c r="T16" s="15" t="str">
        <f t="shared" si="3"/>
        <v>WO</v>
      </c>
      <c r="U16" s="15" t="s">
        <v>41</v>
      </c>
      <c r="V16" s="15" t="s">
        <v>41</v>
      </c>
      <c r="W16" s="15" t="s">
        <v>41</v>
      </c>
      <c r="X16" s="15" t="s">
        <v>41</v>
      </c>
      <c r="Y16" s="15" t="s">
        <v>41</v>
      </c>
      <c r="Z16" s="15" t="s">
        <v>41</v>
      </c>
      <c r="AA16" s="15" t="str">
        <f t="shared" si="4"/>
        <v>WO</v>
      </c>
      <c r="AB16" s="15" t="s">
        <v>41</v>
      </c>
      <c r="AC16" s="15" t="s">
        <v>41</v>
      </c>
      <c r="AD16" s="15" t="s">
        <v>41</v>
      </c>
      <c r="AE16" s="15" t="s">
        <v>41</v>
      </c>
      <c r="AF16" s="15" t="s">
        <v>41</v>
      </c>
      <c r="AG16" s="15" t="s">
        <v>41</v>
      </c>
      <c r="AH16" s="15" t="str">
        <f t="shared" si="4"/>
        <v>WO</v>
      </c>
      <c r="AI16" s="15" t="s">
        <v>41</v>
      </c>
      <c r="AJ16" s="15" t="s">
        <v>41</v>
      </c>
      <c r="AK16" s="15" t="s">
        <v>41</v>
      </c>
      <c r="AL16" s="15" t="s">
        <v>41</v>
      </c>
      <c r="AM16" s="16" t="s">
        <v>41</v>
      </c>
      <c r="AN16" s="41"/>
      <c r="AO16" s="41"/>
      <c r="AP16" s="30"/>
      <c r="AQ16" s="9">
        <v>10</v>
      </c>
      <c r="AR16" s="9" t="s">
        <v>12</v>
      </c>
      <c r="AS16" s="9" t="str">
        <f t="shared" si="5"/>
        <v>October</v>
      </c>
      <c r="AT16" s="10">
        <v>10010</v>
      </c>
      <c r="AU16" s="15">
        <f t="shared" si="6"/>
        <v>27</v>
      </c>
      <c r="AV16" s="15">
        <f t="shared" si="7"/>
        <v>0</v>
      </c>
      <c r="AW16" s="15">
        <f t="shared" si="8"/>
        <v>0</v>
      </c>
      <c r="AX16" s="15">
        <f t="shared" si="9"/>
        <v>4</v>
      </c>
      <c r="AY16" s="25">
        <f t="shared" si="10"/>
        <v>31</v>
      </c>
      <c r="AZ16" s="25">
        <f>JanReport22[[#This Row],[Days]]-JanReport22[[#This Row],[Abesent]]</f>
        <v>31</v>
      </c>
      <c r="BA16" s="26">
        <v>25000</v>
      </c>
      <c r="BB16" s="27">
        <f>JanReport22[[#This Row],[Salary]]/JanReport22[[#This Row],[Days]]</f>
        <v>806.45161290322585</v>
      </c>
      <c r="BC16" s="27">
        <f>JanReport22[[#This Row],[PerDaySalary]]*JanReport22[[#This Row],[Abesent]]</f>
        <v>0</v>
      </c>
      <c r="BD16" s="27">
        <f>JanReport22[[#This Row],[Salary]]-JanReport22[[#This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4</v>
      </c>
      <c r="I17" s="15" t="s">
        <v>41</v>
      </c>
      <c r="J17" s="15" t="s">
        <v>41</v>
      </c>
      <c r="K17" s="15" t="s">
        <v>41</v>
      </c>
      <c r="L17" s="15" t="s">
        <v>42</v>
      </c>
      <c r="M17" s="15" t="str">
        <f t="shared" si="3"/>
        <v>WO</v>
      </c>
      <c r="N17" s="15" t="s">
        <v>41</v>
      </c>
      <c r="O17" s="15" t="s">
        <v>41</v>
      </c>
      <c r="P17" s="15" t="s">
        <v>41</v>
      </c>
      <c r="Q17" s="15" t="s">
        <v>41</v>
      </c>
      <c r="R17" s="15" t="s">
        <v>41</v>
      </c>
      <c r="S17" s="15" t="s">
        <v>42</v>
      </c>
      <c r="T17" s="15" t="str">
        <f t="shared" si="3"/>
        <v>WO</v>
      </c>
      <c r="U17" s="15" t="s">
        <v>41</v>
      </c>
      <c r="V17" s="15" t="s">
        <v>41</v>
      </c>
      <c r="W17" s="15" t="s">
        <v>41</v>
      </c>
      <c r="X17" s="15" t="s">
        <v>41</v>
      </c>
      <c r="Y17" s="15" t="s">
        <v>41</v>
      </c>
      <c r="Z17" s="15" t="s">
        <v>42</v>
      </c>
      <c r="AA17" s="15" t="str">
        <f t="shared" si="4"/>
        <v>WO</v>
      </c>
      <c r="AB17" s="15" t="s">
        <v>41</v>
      </c>
      <c r="AC17" s="15" t="s">
        <v>41</v>
      </c>
      <c r="AD17" s="15" t="s">
        <v>41</v>
      </c>
      <c r="AE17" s="15" t="s">
        <v>41</v>
      </c>
      <c r="AF17" s="15" t="s">
        <v>41</v>
      </c>
      <c r="AG17" s="15" t="s">
        <v>42</v>
      </c>
      <c r="AH17" s="15" t="str">
        <f t="shared" si="4"/>
        <v>WO</v>
      </c>
      <c r="AI17" s="15" t="s">
        <v>41</v>
      </c>
      <c r="AJ17" s="15" t="s">
        <v>41</v>
      </c>
      <c r="AK17" s="15" t="s">
        <v>41</v>
      </c>
      <c r="AL17" s="15" t="s">
        <v>41</v>
      </c>
      <c r="AM17" s="16" t="s">
        <v>42</v>
      </c>
      <c r="AN17" s="41"/>
      <c r="AO17" s="41"/>
      <c r="AP17" s="30"/>
      <c r="AQ17" s="9">
        <v>11</v>
      </c>
      <c r="AR17" s="9" t="s">
        <v>13</v>
      </c>
      <c r="AS17" s="9" t="str">
        <f t="shared" si="5"/>
        <v>October</v>
      </c>
      <c r="AT17" s="10">
        <v>10011</v>
      </c>
      <c r="AU17" s="15">
        <f t="shared" si="6"/>
        <v>22</v>
      </c>
      <c r="AV17" s="15">
        <f t="shared" si="7"/>
        <v>5</v>
      </c>
      <c r="AW17" s="15">
        <f t="shared" si="8"/>
        <v>0</v>
      </c>
      <c r="AX17" s="15">
        <f t="shared" si="9"/>
        <v>4</v>
      </c>
      <c r="AY17" s="25">
        <f t="shared" si="10"/>
        <v>31</v>
      </c>
      <c r="AZ17" s="25">
        <f>JanReport22[[#This Row],[Days]]-JanReport22[[#This Row],[Abesent]]</f>
        <v>26</v>
      </c>
      <c r="BA17" s="26">
        <v>15000</v>
      </c>
      <c r="BB17" s="27">
        <f>JanReport22[[#This Row],[Salary]]/JanReport22[[#This Row],[Days]]</f>
        <v>483.87096774193549</v>
      </c>
      <c r="BC17" s="27">
        <f>JanReport22[[#This Row],[PerDaySalary]]*JanReport22[[#This Row],[Abesent]]</f>
        <v>2419.3548387096776</v>
      </c>
      <c r="BD17" s="27">
        <f>JanReport22[[#This Row],[Salary]]-JanReport22[[#This Row],[Deduction]]</f>
        <v>12580.645161290322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4</v>
      </c>
      <c r="I18" s="15" t="s">
        <v>41</v>
      </c>
      <c r="J18" s="15" t="s">
        <v>41</v>
      </c>
      <c r="K18" s="15" t="s">
        <v>41</v>
      </c>
      <c r="L18" s="15" t="s">
        <v>41</v>
      </c>
      <c r="M18" s="15" t="str">
        <f t="shared" si="3"/>
        <v>WO</v>
      </c>
      <c r="N18" s="15" t="s">
        <v>41</v>
      </c>
      <c r="O18" s="15" t="s">
        <v>41</v>
      </c>
      <c r="P18" s="15" t="s">
        <v>41</v>
      </c>
      <c r="Q18" s="15" t="s">
        <v>41</v>
      </c>
      <c r="R18" s="15" t="s">
        <v>41</v>
      </c>
      <c r="S18" s="15" t="s">
        <v>41</v>
      </c>
      <c r="T18" s="15" t="str">
        <f t="shared" si="3"/>
        <v>WO</v>
      </c>
      <c r="U18" s="15" t="s">
        <v>41</v>
      </c>
      <c r="V18" s="15" t="s">
        <v>41</v>
      </c>
      <c r="W18" s="15" t="s">
        <v>41</v>
      </c>
      <c r="X18" s="15" t="s">
        <v>41</v>
      </c>
      <c r="Y18" s="15" t="s">
        <v>41</v>
      </c>
      <c r="Z18" s="15" t="s">
        <v>41</v>
      </c>
      <c r="AA18" s="15" t="str">
        <f t="shared" si="4"/>
        <v>WO</v>
      </c>
      <c r="AB18" s="15" t="s">
        <v>41</v>
      </c>
      <c r="AC18" s="15" t="s">
        <v>41</v>
      </c>
      <c r="AD18" s="15" t="s">
        <v>41</v>
      </c>
      <c r="AE18" s="15" t="s">
        <v>41</v>
      </c>
      <c r="AF18" s="15" t="s">
        <v>41</v>
      </c>
      <c r="AG18" s="15" t="s">
        <v>41</v>
      </c>
      <c r="AH18" s="15" t="str">
        <f t="shared" si="4"/>
        <v>WO</v>
      </c>
      <c r="AI18" s="15" t="s">
        <v>41</v>
      </c>
      <c r="AJ18" s="15" t="s">
        <v>41</v>
      </c>
      <c r="AK18" s="15" t="s">
        <v>41</v>
      </c>
      <c r="AL18" s="15" t="s">
        <v>41</v>
      </c>
      <c r="AM18" s="16" t="s">
        <v>41</v>
      </c>
      <c r="AN18" s="41"/>
      <c r="AO18" s="41"/>
      <c r="AP18" s="30"/>
      <c r="AQ18" s="9">
        <v>12</v>
      </c>
      <c r="AR18" s="9" t="s">
        <v>14</v>
      </c>
      <c r="AS18" s="9" t="str">
        <f t="shared" si="5"/>
        <v>October</v>
      </c>
      <c r="AT18" s="10">
        <v>10012</v>
      </c>
      <c r="AU18" s="15">
        <f t="shared" si="6"/>
        <v>27</v>
      </c>
      <c r="AV18" s="15">
        <f t="shared" si="7"/>
        <v>0</v>
      </c>
      <c r="AW18" s="15">
        <f t="shared" si="8"/>
        <v>0</v>
      </c>
      <c r="AX18" s="15">
        <f t="shared" si="9"/>
        <v>4</v>
      </c>
      <c r="AY18" s="25">
        <f t="shared" si="10"/>
        <v>31</v>
      </c>
      <c r="AZ18" s="25">
        <f>JanReport22[[#This Row],[Days]]-JanReport22[[#This Row],[Abesent]]</f>
        <v>31</v>
      </c>
      <c r="BA18" s="26">
        <v>19000</v>
      </c>
      <c r="BB18" s="27">
        <f>JanReport22[[#This Row],[Salary]]/JanReport22[[#This Row],[Days]]</f>
        <v>612.90322580645159</v>
      </c>
      <c r="BC18" s="27">
        <f>JanReport22[[#This Row],[PerDaySalary]]*JanReport22[[#This Row],[Abesent]]</f>
        <v>0</v>
      </c>
      <c r="BD18" s="27">
        <f>JanReport22[[#This Row],[Salary]]-JanReport22[[#This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4</v>
      </c>
      <c r="I19" s="15" t="s">
        <v>41</v>
      </c>
      <c r="J19" s="15" t="s">
        <v>41</v>
      </c>
      <c r="K19" s="15" t="s">
        <v>41</v>
      </c>
      <c r="L19" s="15" t="s">
        <v>41</v>
      </c>
      <c r="M19" s="15" t="str">
        <f t="shared" si="3"/>
        <v>WO</v>
      </c>
      <c r="N19" s="15" t="s">
        <v>41</v>
      </c>
      <c r="O19" s="15" t="s">
        <v>41</v>
      </c>
      <c r="P19" s="15" t="s">
        <v>41</v>
      </c>
      <c r="Q19" s="15" t="s">
        <v>41</v>
      </c>
      <c r="R19" s="15" t="s">
        <v>41</v>
      </c>
      <c r="S19" s="15" t="s">
        <v>41</v>
      </c>
      <c r="T19" s="15" t="str">
        <f t="shared" si="3"/>
        <v>WO</v>
      </c>
      <c r="U19" s="15" t="s">
        <v>41</v>
      </c>
      <c r="V19" s="15" t="s">
        <v>41</v>
      </c>
      <c r="W19" s="15" t="s">
        <v>41</v>
      </c>
      <c r="X19" s="15" t="s">
        <v>41</v>
      </c>
      <c r="Y19" s="15" t="s">
        <v>41</v>
      </c>
      <c r="Z19" s="15" t="s">
        <v>41</v>
      </c>
      <c r="AA19" s="15" t="str">
        <f t="shared" si="4"/>
        <v>WO</v>
      </c>
      <c r="AB19" s="15" t="s">
        <v>41</v>
      </c>
      <c r="AC19" s="15" t="s">
        <v>41</v>
      </c>
      <c r="AD19" s="15" t="s">
        <v>41</v>
      </c>
      <c r="AE19" s="15" t="s">
        <v>41</v>
      </c>
      <c r="AF19" s="15" t="s">
        <v>41</v>
      </c>
      <c r="AG19" s="15" t="s">
        <v>41</v>
      </c>
      <c r="AH19" s="15" t="str">
        <f t="shared" si="4"/>
        <v>WO</v>
      </c>
      <c r="AI19" s="15" t="s">
        <v>41</v>
      </c>
      <c r="AJ19" s="15" t="s">
        <v>41</v>
      </c>
      <c r="AK19" s="15" t="s">
        <v>41</v>
      </c>
      <c r="AL19" s="15" t="s">
        <v>41</v>
      </c>
      <c r="AM19" s="16" t="s">
        <v>41</v>
      </c>
      <c r="AN19" s="41"/>
      <c r="AO19" s="41"/>
      <c r="AP19" s="30"/>
      <c r="AQ19" s="9">
        <v>13</v>
      </c>
      <c r="AR19" s="9" t="s">
        <v>15</v>
      </c>
      <c r="AS19" s="9" t="str">
        <f t="shared" si="5"/>
        <v>October</v>
      </c>
      <c r="AT19" s="10">
        <v>10013</v>
      </c>
      <c r="AU19" s="15">
        <f t="shared" si="6"/>
        <v>27</v>
      </c>
      <c r="AV19" s="15">
        <f t="shared" si="7"/>
        <v>0</v>
      </c>
      <c r="AW19" s="15">
        <f t="shared" si="8"/>
        <v>0</v>
      </c>
      <c r="AX19" s="15">
        <f t="shared" si="9"/>
        <v>4</v>
      </c>
      <c r="AY19" s="25">
        <f t="shared" si="10"/>
        <v>31</v>
      </c>
      <c r="AZ19" s="25">
        <f>JanReport22[[#This Row],[Days]]-JanReport22[[#This Row],[Abesent]]</f>
        <v>31</v>
      </c>
      <c r="BA19" s="26">
        <v>20000</v>
      </c>
      <c r="BB19" s="27">
        <f>JanReport22[[#This Row],[Salary]]/JanReport22[[#This Row],[Days]]</f>
        <v>645.16129032258061</v>
      </c>
      <c r="BC19" s="27">
        <f>JanReport22[[#This Row],[PerDaySalary]]*JanReport22[[#This Row],[Abesent]]</f>
        <v>0</v>
      </c>
      <c r="BD19" s="27">
        <f>JanReport22[[#This Row],[Salary]]-JanReport22[[#This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4</v>
      </c>
      <c r="I20" s="15" t="s">
        <v>41</v>
      </c>
      <c r="J20" s="15" t="s">
        <v>41</v>
      </c>
      <c r="K20" s="15" t="s">
        <v>41</v>
      </c>
      <c r="L20" s="15" t="s">
        <v>41</v>
      </c>
      <c r="M20" s="15" t="str">
        <f t="shared" si="3"/>
        <v>WO</v>
      </c>
      <c r="N20" s="15" t="s">
        <v>41</v>
      </c>
      <c r="O20" s="15" t="s">
        <v>41</v>
      </c>
      <c r="P20" s="15" t="s">
        <v>41</v>
      </c>
      <c r="Q20" s="15" t="s">
        <v>41</v>
      </c>
      <c r="R20" s="15" t="s">
        <v>41</v>
      </c>
      <c r="S20" s="15" t="s">
        <v>41</v>
      </c>
      <c r="T20" s="15" t="str">
        <f t="shared" si="3"/>
        <v>WO</v>
      </c>
      <c r="U20" s="15" t="s">
        <v>41</v>
      </c>
      <c r="V20" s="15" t="s">
        <v>41</v>
      </c>
      <c r="W20" s="15" t="s">
        <v>41</v>
      </c>
      <c r="X20" s="15" t="s">
        <v>41</v>
      </c>
      <c r="Y20" s="15" t="s">
        <v>41</v>
      </c>
      <c r="Z20" s="15" t="s">
        <v>41</v>
      </c>
      <c r="AA20" s="15" t="str">
        <f t="shared" si="4"/>
        <v>WO</v>
      </c>
      <c r="AB20" s="15" t="s">
        <v>41</v>
      </c>
      <c r="AC20" s="15" t="s">
        <v>41</v>
      </c>
      <c r="AD20" s="15" t="s">
        <v>41</v>
      </c>
      <c r="AE20" s="15" t="s">
        <v>41</v>
      </c>
      <c r="AF20" s="15" t="s">
        <v>41</v>
      </c>
      <c r="AG20" s="15" t="s">
        <v>41</v>
      </c>
      <c r="AH20" s="15" t="str">
        <f t="shared" si="4"/>
        <v>WO</v>
      </c>
      <c r="AI20" s="15" t="s">
        <v>41</v>
      </c>
      <c r="AJ20" s="15" t="s">
        <v>41</v>
      </c>
      <c r="AK20" s="15" t="s">
        <v>41</v>
      </c>
      <c r="AL20" s="15" t="s">
        <v>41</v>
      </c>
      <c r="AM20" s="16" t="s">
        <v>41</v>
      </c>
      <c r="AN20" s="41"/>
      <c r="AO20" s="41"/>
      <c r="AP20" s="30"/>
      <c r="AQ20" s="9">
        <v>14</v>
      </c>
      <c r="AR20" s="9" t="s">
        <v>16</v>
      </c>
      <c r="AS20" s="9" t="str">
        <f t="shared" si="5"/>
        <v>October</v>
      </c>
      <c r="AT20" s="10">
        <v>10014</v>
      </c>
      <c r="AU20" s="15">
        <f t="shared" si="6"/>
        <v>27</v>
      </c>
      <c r="AV20" s="15">
        <f t="shared" si="7"/>
        <v>0</v>
      </c>
      <c r="AW20" s="15">
        <f t="shared" si="8"/>
        <v>0</v>
      </c>
      <c r="AX20" s="15">
        <f t="shared" si="9"/>
        <v>4</v>
      </c>
      <c r="AY20" s="25">
        <f t="shared" si="10"/>
        <v>31</v>
      </c>
      <c r="AZ20" s="25">
        <f>JanReport22[[#This Row],[Days]]-JanReport22[[#This Row],[Abesent]]</f>
        <v>31</v>
      </c>
      <c r="BA20" s="26">
        <v>19000</v>
      </c>
      <c r="BB20" s="27">
        <f>JanReport22[[#This Row],[Salary]]/JanReport22[[#This Row],[Days]]</f>
        <v>612.90322580645159</v>
      </c>
      <c r="BC20" s="27">
        <f>JanReport22[[#This Row],[PerDaySalary]]*JanReport22[[#This Row],[Abesent]]</f>
        <v>0</v>
      </c>
      <c r="BD20" s="27">
        <f>JanReport22[[#This Row],[Salary]]-JanReport22[[#This Row],[Deduction]]</f>
        <v>19000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4</v>
      </c>
      <c r="I21" s="15" t="s">
        <v>41</v>
      </c>
      <c r="J21" s="15" t="s">
        <v>41</v>
      </c>
      <c r="K21" s="15" t="s">
        <v>41</v>
      </c>
      <c r="L21" s="15" t="s">
        <v>41</v>
      </c>
      <c r="M21" s="15" t="str">
        <f t="shared" si="3"/>
        <v>WO</v>
      </c>
      <c r="N21" s="15" t="s">
        <v>41</v>
      </c>
      <c r="O21" s="15" t="s">
        <v>41</v>
      </c>
      <c r="P21" s="15" t="s">
        <v>41</v>
      </c>
      <c r="Q21" s="15" t="s">
        <v>41</v>
      </c>
      <c r="R21" s="15" t="s">
        <v>41</v>
      </c>
      <c r="S21" s="15" t="s">
        <v>41</v>
      </c>
      <c r="T21" s="15" t="str">
        <f t="shared" si="3"/>
        <v>WO</v>
      </c>
      <c r="U21" s="15" t="s">
        <v>41</v>
      </c>
      <c r="V21" s="15" t="s">
        <v>41</v>
      </c>
      <c r="W21" s="15" t="s">
        <v>41</v>
      </c>
      <c r="X21" s="15" t="s">
        <v>41</v>
      </c>
      <c r="Y21" s="15" t="s">
        <v>41</v>
      </c>
      <c r="Z21" s="15" t="s">
        <v>41</v>
      </c>
      <c r="AA21" s="15" t="str">
        <f t="shared" si="4"/>
        <v>WO</v>
      </c>
      <c r="AB21" s="15" t="s">
        <v>41</v>
      </c>
      <c r="AC21" s="15" t="s">
        <v>41</v>
      </c>
      <c r="AD21" s="15" t="s">
        <v>41</v>
      </c>
      <c r="AE21" s="15" t="s">
        <v>41</v>
      </c>
      <c r="AF21" s="15" t="s">
        <v>41</v>
      </c>
      <c r="AG21" s="15" t="s">
        <v>41</v>
      </c>
      <c r="AH21" s="15" t="str">
        <f t="shared" si="4"/>
        <v>WO</v>
      </c>
      <c r="AI21" s="15" t="s">
        <v>41</v>
      </c>
      <c r="AJ21" s="15" t="s">
        <v>41</v>
      </c>
      <c r="AK21" s="15" t="s">
        <v>41</v>
      </c>
      <c r="AL21" s="15" t="s">
        <v>41</v>
      </c>
      <c r="AM21" s="16" t="s">
        <v>41</v>
      </c>
      <c r="AN21" s="41"/>
      <c r="AO21" s="41"/>
      <c r="AP21" s="30"/>
      <c r="AQ21" s="9">
        <v>15</v>
      </c>
      <c r="AR21" s="9" t="s">
        <v>17</v>
      </c>
      <c r="AS21" s="9" t="str">
        <f t="shared" si="5"/>
        <v>October</v>
      </c>
      <c r="AT21" s="10">
        <v>10015</v>
      </c>
      <c r="AU21" s="15">
        <f t="shared" si="6"/>
        <v>27</v>
      </c>
      <c r="AV21" s="15">
        <f t="shared" si="7"/>
        <v>0</v>
      </c>
      <c r="AW21" s="15">
        <f t="shared" si="8"/>
        <v>0</v>
      </c>
      <c r="AX21" s="15">
        <f t="shared" si="9"/>
        <v>4</v>
      </c>
      <c r="AY21" s="25">
        <f t="shared" si="10"/>
        <v>31</v>
      </c>
      <c r="AZ21" s="25">
        <f>JanReport22[[#This Row],[Days]]-JanReport22[[#This Row],[Abesent]]</f>
        <v>31</v>
      </c>
      <c r="BA21" s="26">
        <v>25000</v>
      </c>
      <c r="BB21" s="27">
        <f>JanReport22[[#This Row],[Salary]]/JanReport22[[#This Row],[Days]]</f>
        <v>806.45161290322585</v>
      </c>
      <c r="BC21" s="27">
        <f>JanReport22[[#This Row],[PerDaySalary]]*JanReport22[[#This Row],[Abesent]]</f>
        <v>0</v>
      </c>
      <c r="BD21" s="27">
        <f>JanReport22[[#This Row],[Salary]]-JanReport22[[#This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4</v>
      </c>
      <c r="I22" s="15" t="s">
        <v>41</v>
      </c>
      <c r="J22" s="15" t="s">
        <v>42</v>
      </c>
      <c r="K22" s="15" t="s">
        <v>41</v>
      </c>
      <c r="L22" s="15" t="s">
        <v>41</v>
      </c>
      <c r="M22" s="15" t="str">
        <f t="shared" si="3"/>
        <v>WO</v>
      </c>
      <c r="N22" s="15" t="s">
        <v>41</v>
      </c>
      <c r="O22" s="15" t="s">
        <v>41</v>
      </c>
      <c r="P22" s="15" t="s">
        <v>41</v>
      </c>
      <c r="Q22" s="15" t="s">
        <v>42</v>
      </c>
      <c r="R22" s="15" t="s">
        <v>41</v>
      </c>
      <c r="S22" s="15" t="s">
        <v>41</v>
      </c>
      <c r="T22" s="15" t="str">
        <f t="shared" si="3"/>
        <v>WO</v>
      </c>
      <c r="U22" s="15" t="s">
        <v>41</v>
      </c>
      <c r="V22" s="15" t="s">
        <v>41</v>
      </c>
      <c r="W22" s="15" t="s">
        <v>41</v>
      </c>
      <c r="X22" s="15" t="s">
        <v>42</v>
      </c>
      <c r="Y22" s="15" t="s">
        <v>41</v>
      </c>
      <c r="Z22" s="15" t="s">
        <v>41</v>
      </c>
      <c r="AA22" s="15" t="str">
        <f t="shared" si="4"/>
        <v>WO</v>
      </c>
      <c r="AB22" s="15" t="s">
        <v>41</v>
      </c>
      <c r="AC22" s="15" t="s">
        <v>41</v>
      </c>
      <c r="AD22" s="15" t="s">
        <v>41</v>
      </c>
      <c r="AE22" s="15" t="s">
        <v>42</v>
      </c>
      <c r="AF22" s="15" t="s">
        <v>41</v>
      </c>
      <c r="AG22" s="15" t="s">
        <v>41</v>
      </c>
      <c r="AH22" s="15" t="str">
        <f t="shared" si="4"/>
        <v>WO</v>
      </c>
      <c r="AI22" s="15" t="s">
        <v>41</v>
      </c>
      <c r="AJ22" s="15" t="s">
        <v>41</v>
      </c>
      <c r="AK22" s="15" t="s">
        <v>42</v>
      </c>
      <c r="AL22" s="15" t="s">
        <v>41</v>
      </c>
      <c r="AM22" s="16" t="s">
        <v>41</v>
      </c>
      <c r="AN22" s="41"/>
      <c r="AO22" s="41"/>
      <c r="AP22" s="30"/>
      <c r="AQ22" s="9">
        <v>16</v>
      </c>
      <c r="AR22" s="9" t="s">
        <v>18</v>
      </c>
      <c r="AS22" s="9" t="str">
        <f t="shared" si="5"/>
        <v>October</v>
      </c>
      <c r="AT22" s="10">
        <v>10016</v>
      </c>
      <c r="AU22" s="15">
        <f t="shared" si="6"/>
        <v>22</v>
      </c>
      <c r="AV22" s="15">
        <f t="shared" si="7"/>
        <v>5</v>
      </c>
      <c r="AW22" s="15">
        <f t="shared" si="8"/>
        <v>0</v>
      </c>
      <c r="AX22" s="15">
        <f t="shared" si="9"/>
        <v>4</v>
      </c>
      <c r="AY22" s="25">
        <f t="shared" si="10"/>
        <v>31</v>
      </c>
      <c r="AZ22" s="25">
        <f>JanReport22[[#This Row],[Days]]-JanReport22[[#This Row],[Abesent]]</f>
        <v>26</v>
      </c>
      <c r="BA22" s="26">
        <v>32000</v>
      </c>
      <c r="BB22" s="27">
        <f>JanReport22[[#This Row],[Salary]]/JanReport22[[#This Row],[Days]]</f>
        <v>1032.258064516129</v>
      </c>
      <c r="BC22" s="27">
        <f>JanReport22[[#This Row],[PerDaySalary]]*JanReport22[[#This Row],[Abesent]]</f>
        <v>5161.2903225806449</v>
      </c>
      <c r="BD22" s="27">
        <f>JanReport22[[#This Row],[Salary]]-JanReport22[[#This Row],[Deduction]]</f>
        <v>26838.709677419356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4</v>
      </c>
      <c r="I23" s="15" t="s">
        <v>41</v>
      </c>
      <c r="J23" s="15" t="s">
        <v>41</v>
      </c>
      <c r="K23" s="15" t="s">
        <v>41</v>
      </c>
      <c r="L23" s="15" t="s">
        <v>41</v>
      </c>
      <c r="M23" s="15" t="str">
        <f t="shared" ref="M23:T26" si="11">IF(M$5="Sun","WO","")</f>
        <v>WO</v>
      </c>
      <c r="N23" s="15" t="s">
        <v>41</v>
      </c>
      <c r="O23" s="15" t="s">
        <v>41</v>
      </c>
      <c r="P23" s="15" t="s">
        <v>41</v>
      </c>
      <c r="Q23" s="15" t="s">
        <v>41</v>
      </c>
      <c r="R23" s="15" t="s">
        <v>41</v>
      </c>
      <c r="S23" s="15" t="s">
        <v>41</v>
      </c>
      <c r="T23" s="15" t="str">
        <f t="shared" si="11"/>
        <v>WO</v>
      </c>
      <c r="U23" s="15" t="s">
        <v>41</v>
      </c>
      <c r="V23" s="15" t="s">
        <v>41</v>
      </c>
      <c r="W23" s="15" t="s">
        <v>41</v>
      </c>
      <c r="X23" s="15" t="s">
        <v>41</v>
      </c>
      <c r="Y23" s="15" t="s">
        <v>41</v>
      </c>
      <c r="Z23" s="15" t="s">
        <v>41</v>
      </c>
      <c r="AA23" s="15" t="str">
        <f t="shared" ref="AA23:AH26" si="12">IF(AA$5="Sun","WO","")</f>
        <v>WO</v>
      </c>
      <c r="AB23" s="15" t="s">
        <v>41</v>
      </c>
      <c r="AC23" s="15" t="s">
        <v>41</v>
      </c>
      <c r="AD23" s="15" t="s">
        <v>41</v>
      </c>
      <c r="AE23" s="15" t="s">
        <v>41</v>
      </c>
      <c r="AF23" s="15" t="s">
        <v>41</v>
      </c>
      <c r="AG23" s="15" t="s">
        <v>41</v>
      </c>
      <c r="AH23" s="15" t="str">
        <f t="shared" si="12"/>
        <v>WO</v>
      </c>
      <c r="AI23" s="15" t="s">
        <v>41</v>
      </c>
      <c r="AJ23" s="15" t="s">
        <v>41</v>
      </c>
      <c r="AK23" s="15" t="s">
        <v>41</v>
      </c>
      <c r="AL23" s="15" t="s">
        <v>41</v>
      </c>
      <c r="AM23" s="16" t="s">
        <v>41</v>
      </c>
      <c r="AN23" s="41"/>
      <c r="AO23" s="41"/>
      <c r="AP23" s="30"/>
      <c r="AQ23" s="9">
        <v>17</v>
      </c>
      <c r="AR23" s="9" t="s">
        <v>19</v>
      </c>
      <c r="AS23" s="9" t="str">
        <f t="shared" si="5"/>
        <v>October</v>
      </c>
      <c r="AT23" s="10">
        <v>10017</v>
      </c>
      <c r="AU23" s="15">
        <f t="shared" si="6"/>
        <v>27</v>
      </c>
      <c r="AV23" s="15">
        <f t="shared" si="7"/>
        <v>0</v>
      </c>
      <c r="AW23" s="15">
        <f t="shared" si="8"/>
        <v>0</v>
      </c>
      <c r="AX23" s="15">
        <f t="shared" si="9"/>
        <v>4</v>
      </c>
      <c r="AY23" s="25">
        <f t="shared" si="10"/>
        <v>31</v>
      </c>
      <c r="AZ23" s="25">
        <f>JanReport22[[#This Row],[Days]]-JanReport22[[#This Row],[Abesent]]</f>
        <v>31</v>
      </c>
      <c r="BA23" s="26">
        <v>35000</v>
      </c>
      <c r="BB23" s="27">
        <f>JanReport22[[#This Row],[Salary]]/JanReport22[[#This Row],[Days]]</f>
        <v>1129.0322580645161</v>
      </c>
      <c r="BC23" s="27">
        <f>JanReport22[[#This Row],[PerDaySalary]]*JanReport22[[#This Row],[Abesent]]</f>
        <v>0</v>
      </c>
      <c r="BD23" s="27">
        <f>JanReport22[[#This Row],[Salary]]-JanReport22[[#This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4</v>
      </c>
      <c r="I24" s="15" t="s">
        <v>41</v>
      </c>
      <c r="J24" s="15" t="s">
        <v>41</v>
      </c>
      <c r="K24" s="15" t="s">
        <v>41</v>
      </c>
      <c r="L24" s="15" t="s">
        <v>41</v>
      </c>
      <c r="M24" s="15" t="str">
        <f t="shared" si="11"/>
        <v>WO</v>
      </c>
      <c r="N24" s="15" t="s">
        <v>41</v>
      </c>
      <c r="O24" s="15" t="s">
        <v>41</v>
      </c>
      <c r="P24" s="15" t="s">
        <v>41</v>
      </c>
      <c r="Q24" s="15" t="s">
        <v>41</v>
      </c>
      <c r="R24" s="15" t="s">
        <v>41</v>
      </c>
      <c r="S24" s="15" t="s">
        <v>41</v>
      </c>
      <c r="T24" s="15" t="str">
        <f t="shared" si="11"/>
        <v>WO</v>
      </c>
      <c r="U24" s="15" t="s">
        <v>41</v>
      </c>
      <c r="V24" s="15" t="s">
        <v>41</v>
      </c>
      <c r="W24" s="15" t="s">
        <v>41</v>
      </c>
      <c r="X24" s="15" t="s">
        <v>41</v>
      </c>
      <c r="Y24" s="15" t="s">
        <v>41</v>
      </c>
      <c r="Z24" s="15" t="s">
        <v>41</v>
      </c>
      <c r="AA24" s="15" t="str">
        <f t="shared" si="12"/>
        <v>WO</v>
      </c>
      <c r="AB24" s="15" t="s">
        <v>41</v>
      </c>
      <c r="AC24" s="15" t="s">
        <v>41</v>
      </c>
      <c r="AD24" s="15" t="s">
        <v>41</v>
      </c>
      <c r="AE24" s="15" t="s">
        <v>41</v>
      </c>
      <c r="AF24" s="15" t="s">
        <v>41</v>
      </c>
      <c r="AG24" s="15" t="s">
        <v>41</v>
      </c>
      <c r="AH24" s="15" t="str">
        <f t="shared" si="12"/>
        <v>WO</v>
      </c>
      <c r="AI24" s="15" t="s">
        <v>41</v>
      </c>
      <c r="AJ24" s="15" t="s">
        <v>41</v>
      </c>
      <c r="AK24" s="15" t="s">
        <v>41</v>
      </c>
      <c r="AL24" s="15" t="s">
        <v>41</v>
      </c>
      <c r="AM24" s="16" t="s">
        <v>41</v>
      </c>
      <c r="AN24" s="41"/>
      <c r="AO24" s="41"/>
      <c r="AP24" s="30"/>
      <c r="AQ24" s="9">
        <v>18</v>
      </c>
      <c r="AR24" s="9" t="s">
        <v>20</v>
      </c>
      <c r="AS24" s="9" t="str">
        <f t="shared" si="5"/>
        <v>October</v>
      </c>
      <c r="AT24" s="10">
        <v>10018</v>
      </c>
      <c r="AU24" s="15">
        <f t="shared" si="6"/>
        <v>27</v>
      </c>
      <c r="AV24" s="15">
        <f t="shared" si="7"/>
        <v>0</v>
      </c>
      <c r="AW24" s="15">
        <f t="shared" si="8"/>
        <v>0</v>
      </c>
      <c r="AX24" s="15">
        <f t="shared" si="9"/>
        <v>4</v>
      </c>
      <c r="AY24" s="25">
        <f t="shared" si="10"/>
        <v>31</v>
      </c>
      <c r="AZ24" s="25">
        <f>JanReport22[[#This Row],[Days]]-JanReport22[[#This Row],[Abesent]]</f>
        <v>31</v>
      </c>
      <c r="BA24" s="26">
        <v>28000</v>
      </c>
      <c r="BB24" s="27">
        <f>JanReport22[[#This Row],[Salary]]/JanReport22[[#This Row],[Days]]</f>
        <v>903.22580645161293</v>
      </c>
      <c r="BC24" s="27">
        <f>JanReport22[[#This Row],[PerDaySalary]]*JanReport22[[#This Row],[Abesent]]</f>
        <v>0</v>
      </c>
      <c r="BD24" s="27">
        <f>JanReport22[[#This Row],[Salary]]-JanReport22[[#This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4</v>
      </c>
      <c r="I25" s="15" t="s">
        <v>41</v>
      </c>
      <c r="J25" s="15" t="s">
        <v>41</v>
      </c>
      <c r="K25" s="15" t="s">
        <v>41</v>
      </c>
      <c r="L25" s="15" t="s">
        <v>41</v>
      </c>
      <c r="M25" s="15" t="str">
        <f t="shared" si="11"/>
        <v>WO</v>
      </c>
      <c r="N25" s="15" t="s">
        <v>41</v>
      </c>
      <c r="O25" s="15" t="s">
        <v>41</v>
      </c>
      <c r="P25" s="15" t="s">
        <v>41</v>
      </c>
      <c r="Q25" s="15" t="s">
        <v>41</v>
      </c>
      <c r="R25" s="15" t="s">
        <v>41</v>
      </c>
      <c r="S25" s="15" t="s">
        <v>41</v>
      </c>
      <c r="T25" s="15" t="str">
        <f t="shared" si="11"/>
        <v>WO</v>
      </c>
      <c r="U25" s="15" t="s">
        <v>41</v>
      </c>
      <c r="V25" s="15" t="s">
        <v>41</v>
      </c>
      <c r="W25" s="15" t="s">
        <v>41</v>
      </c>
      <c r="X25" s="15" t="s">
        <v>41</v>
      </c>
      <c r="Y25" s="15" t="s">
        <v>41</v>
      </c>
      <c r="Z25" s="15" t="s">
        <v>41</v>
      </c>
      <c r="AA25" s="15" t="str">
        <f t="shared" si="12"/>
        <v>WO</v>
      </c>
      <c r="AB25" s="15" t="s">
        <v>41</v>
      </c>
      <c r="AC25" s="15" t="s">
        <v>41</v>
      </c>
      <c r="AD25" s="15" t="s">
        <v>41</v>
      </c>
      <c r="AE25" s="15" t="s">
        <v>41</v>
      </c>
      <c r="AF25" s="15" t="s">
        <v>41</v>
      </c>
      <c r="AG25" s="15" t="s">
        <v>41</v>
      </c>
      <c r="AH25" s="15" t="str">
        <f t="shared" si="12"/>
        <v>WO</v>
      </c>
      <c r="AI25" s="15" t="s">
        <v>41</v>
      </c>
      <c r="AJ25" s="15" t="s">
        <v>41</v>
      </c>
      <c r="AK25" s="15" t="s">
        <v>41</v>
      </c>
      <c r="AL25" s="15" t="s">
        <v>41</v>
      </c>
      <c r="AM25" s="16" t="s">
        <v>41</v>
      </c>
      <c r="AN25" s="41"/>
      <c r="AO25" s="41"/>
      <c r="AP25" s="30"/>
      <c r="AQ25" s="9">
        <v>19</v>
      </c>
      <c r="AR25" s="9" t="s">
        <v>21</v>
      </c>
      <c r="AS25" s="9" t="str">
        <f t="shared" si="5"/>
        <v>October</v>
      </c>
      <c r="AT25" s="10">
        <v>10019</v>
      </c>
      <c r="AU25" s="15">
        <f t="shared" si="6"/>
        <v>27</v>
      </c>
      <c r="AV25" s="15">
        <f t="shared" si="7"/>
        <v>0</v>
      </c>
      <c r="AW25" s="15">
        <f t="shared" si="8"/>
        <v>0</v>
      </c>
      <c r="AX25" s="15">
        <f t="shared" si="9"/>
        <v>4</v>
      </c>
      <c r="AY25" s="25">
        <f t="shared" si="10"/>
        <v>31</v>
      </c>
      <c r="AZ25" s="25">
        <f>JanReport22[[#This Row],[Days]]-JanReport22[[#This Row],[Abesent]]</f>
        <v>31</v>
      </c>
      <c r="BA25" s="26">
        <v>19000</v>
      </c>
      <c r="BB25" s="27">
        <f>JanReport22[[#This Row],[Salary]]/JanReport22[[#This Row],[Days]]</f>
        <v>612.90322580645159</v>
      </c>
      <c r="BC25" s="27">
        <f>JanReport22[[#This Row],[PerDaySalary]]*JanReport22[[#This Row],[Abesent]]</f>
        <v>0</v>
      </c>
      <c r="BD25" s="27">
        <f>JanReport22[[#This Row],[Salary]]-JanReport22[[#This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4</v>
      </c>
      <c r="I26" s="17" t="s">
        <v>41</v>
      </c>
      <c r="J26" s="17" t="s">
        <v>41</v>
      </c>
      <c r="K26" s="17" t="s">
        <v>41</v>
      </c>
      <c r="L26" s="17" t="s">
        <v>41</v>
      </c>
      <c r="M26" s="17" t="str">
        <f t="shared" si="11"/>
        <v>WO</v>
      </c>
      <c r="N26" s="17" t="s">
        <v>41</v>
      </c>
      <c r="O26" s="17" t="s">
        <v>41</v>
      </c>
      <c r="P26" s="17" t="s">
        <v>41</v>
      </c>
      <c r="Q26" s="17" t="s">
        <v>41</v>
      </c>
      <c r="R26" s="17" t="s">
        <v>41</v>
      </c>
      <c r="S26" s="17" t="s">
        <v>41</v>
      </c>
      <c r="T26" s="17" t="str">
        <f t="shared" si="11"/>
        <v>WO</v>
      </c>
      <c r="U26" s="17" t="s">
        <v>41</v>
      </c>
      <c r="V26" s="17" t="s">
        <v>41</v>
      </c>
      <c r="W26" s="17" t="s">
        <v>41</v>
      </c>
      <c r="X26" s="17" t="s">
        <v>41</v>
      </c>
      <c r="Y26" s="17" t="s">
        <v>41</v>
      </c>
      <c r="Z26" s="17" t="s">
        <v>41</v>
      </c>
      <c r="AA26" s="17" t="str">
        <f t="shared" si="12"/>
        <v>WO</v>
      </c>
      <c r="AB26" s="17" t="s">
        <v>41</v>
      </c>
      <c r="AC26" s="17" t="s">
        <v>41</v>
      </c>
      <c r="AD26" s="17" t="s">
        <v>41</v>
      </c>
      <c r="AE26" s="17" t="s">
        <v>41</v>
      </c>
      <c r="AF26" s="17" t="s">
        <v>41</v>
      </c>
      <c r="AG26" s="17" t="s">
        <v>41</v>
      </c>
      <c r="AH26" s="17" t="str">
        <f t="shared" si="12"/>
        <v>WO</v>
      </c>
      <c r="AI26" s="17" t="s">
        <v>41</v>
      </c>
      <c r="AJ26" s="17" t="s">
        <v>41</v>
      </c>
      <c r="AK26" s="17" t="s">
        <v>41</v>
      </c>
      <c r="AL26" s="17" t="s">
        <v>41</v>
      </c>
      <c r="AM26" s="18" t="s">
        <v>41</v>
      </c>
      <c r="AN26" s="41"/>
      <c r="AO26" s="41"/>
      <c r="AP26" s="30"/>
      <c r="AQ26" s="9">
        <v>20</v>
      </c>
      <c r="AR26" s="9" t="s">
        <v>22</v>
      </c>
      <c r="AS26" s="9" t="str">
        <f t="shared" si="5"/>
        <v>October</v>
      </c>
      <c r="AT26" s="10">
        <v>10020</v>
      </c>
      <c r="AU26" s="15">
        <f t="shared" si="6"/>
        <v>27</v>
      </c>
      <c r="AV26" s="15">
        <f t="shared" si="7"/>
        <v>0</v>
      </c>
      <c r="AW26" s="15">
        <f t="shared" si="8"/>
        <v>0</v>
      </c>
      <c r="AX26" s="15">
        <f t="shared" si="9"/>
        <v>4</v>
      </c>
      <c r="AY26" s="25">
        <f t="shared" si="10"/>
        <v>31</v>
      </c>
      <c r="AZ26" s="25">
        <f>JanReport22[[#This Row],[Days]]-JanReport22[[#This Row],[Abesent]]</f>
        <v>31</v>
      </c>
      <c r="BA26" s="26">
        <v>20000</v>
      </c>
      <c r="BB26" s="27">
        <f>JanReport22[[#This Row],[Salary]]/JanReport22[[#This Row],[Days]]</f>
        <v>645.16129032258061</v>
      </c>
      <c r="BC26" s="27">
        <f>JanReport22[[#This Row],[PerDaySalary]]*JanReport22[[#This Row],[Abesent]]</f>
        <v>0</v>
      </c>
      <c r="BD26" s="27">
        <f>JanReport22[[#This Row],[Salary]]-JanReport22[[#This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11" priority="1" operator="containsText" text="L">
      <formula>NOT(ISERROR(SEARCH("L",I7)))</formula>
    </cfRule>
    <cfRule type="containsText" dxfId="10" priority="2" operator="containsText" text="A">
      <formula>NOT(ISERROR(SEARCH("A",I7)))</formula>
    </cfRule>
    <cfRule type="containsText" dxfId="9" priority="3" operator="containsText" text="P">
      <formula>NOT(ISERROR(SEARCH("P",I7)))</formula>
    </cfRule>
    <cfRule type="containsText" dxfId="8" priority="4" operator="containsText" text="WO">
      <formula>NOT(ISERROR(SEARCH("WO",I7)))</formula>
    </cfRule>
  </conditionalFormatting>
  <dataValidations count="1">
    <dataValidation type="list" allowBlank="1" showInputMessage="1" showErrorMessage="1" sqref="AI7:AM26 AB7:AG26 N7:S26 U7:Z26 I7:L26" xr:uid="{B700D121-BE37-4932-8A7E-1773A89E3DAA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58D1B0-DEBF-493D-9661-9871B1690070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D5E3665-5C43-4B6E-9CC3-4CB69BF5ED5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Oct!AU7:AW7</xm:f>
              <xm:sqref>BE7</xm:sqref>
            </x14:sparkline>
            <x14:sparkline>
              <xm:f>Oct!AU8:AW8</xm:f>
              <xm:sqref>BE8</xm:sqref>
            </x14:sparkline>
            <x14:sparkline>
              <xm:f>Oct!AU9:AW9</xm:f>
              <xm:sqref>BE9</xm:sqref>
            </x14:sparkline>
            <x14:sparkline>
              <xm:f>Oct!AU10:AW10</xm:f>
              <xm:sqref>BE10</xm:sqref>
            </x14:sparkline>
            <x14:sparkline>
              <xm:f>Oct!AU11:AW11</xm:f>
              <xm:sqref>BE11</xm:sqref>
            </x14:sparkline>
            <x14:sparkline>
              <xm:f>Oct!AU12:AW12</xm:f>
              <xm:sqref>BE12</xm:sqref>
            </x14:sparkline>
            <x14:sparkline>
              <xm:f>Oct!AU13:AW13</xm:f>
              <xm:sqref>BE13</xm:sqref>
            </x14:sparkline>
            <x14:sparkline>
              <xm:f>Oct!AU14:AW14</xm:f>
              <xm:sqref>BE14</xm:sqref>
            </x14:sparkline>
            <x14:sparkline>
              <xm:f>Oct!AU15:AW15</xm:f>
              <xm:sqref>BE15</xm:sqref>
            </x14:sparkline>
            <x14:sparkline>
              <xm:f>Oct!AU16:AW16</xm:f>
              <xm:sqref>BE16</xm:sqref>
            </x14:sparkline>
            <x14:sparkline>
              <xm:f>Oct!AU17:AW17</xm:f>
              <xm:sqref>BE17</xm:sqref>
            </x14:sparkline>
            <x14:sparkline>
              <xm:f>Oct!AU18:AW18</xm:f>
              <xm:sqref>BE18</xm:sqref>
            </x14:sparkline>
            <x14:sparkline>
              <xm:f>Oct!AU19:AW19</xm:f>
              <xm:sqref>BE19</xm:sqref>
            </x14:sparkline>
            <x14:sparkline>
              <xm:f>Oct!AU20:AW20</xm:f>
              <xm:sqref>BE20</xm:sqref>
            </x14:sparkline>
            <x14:sparkline>
              <xm:f>Oct!AU21:AW21</xm:f>
              <xm:sqref>BE21</xm:sqref>
            </x14:sparkline>
            <x14:sparkline>
              <xm:f>Oct!AU22:AW22</xm:f>
              <xm:sqref>BE22</xm:sqref>
            </x14:sparkline>
            <x14:sparkline>
              <xm:f>Oct!AU23:AW23</xm:f>
              <xm:sqref>BE23</xm:sqref>
            </x14:sparkline>
            <x14:sparkline>
              <xm:f>Oct!AU24:AW24</xm:f>
              <xm:sqref>BE24</xm:sqref>
            </x14:sparkline>
            <x14:sparkline>
              <xm:f>Oct!AU25:AW25</xm:f>
              <xm:sqref>BE25</xm:sqref>
            </x14:sparkline>
            <x14:sparkline>
              <xm:f>Oct!AU26:AW26</xm:f>
              <xm:sqref>BE26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6023-E40D-4C7A-84A4-F6ECA2E48439}">
  <dimension ref="A1:BI32"/>
  <sheetViews>
    <sheetView zoomScaleNormal="100" workbookViewId="0"/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45962</v>
      </c>
      <c r="G4" s="42" t="str">
        <f>TEXT(F4,"MMMM")</f>
        <v>November</v>
      </c>
      <c r="H4" s="44">
        <f>(DATEDIF(F4,J4,"D"))+1</f>
        <v>30</v>
      </c>
      <c r="I4" s="42" t="s">
        <v>26</v>
      </c>
      <c r="J4" s="47">
        <f>EOMONTH(F4,0)</f>
        <v>45991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Sat</v>
      </c>
      <c r="J5" s="13" t="str">
        <f t="shared" ref="J5:AM5" si="0">TEXT(J6,"ddd")</f>
        <v>Sun</v>
      </c>
      <c r="K5" s="13" t="str">
        <f t="shared" si="0"/>
        <v>Mon</v>
      </c>
      <c r="L5" s="13" t="str">
        <f t="shared" si="0"/>
        <v>Tue</v>
      </c>
      <c r="M5" s="13" t="str">
        <f t="shared" si="0"/>
        <v>Wed</v>
      </c>
      <c r="N5" s="13" t="str">
        <f t="shared" si="0"/>
        <v>Thu</v>
      </c>
      <c r="O5" s="13" t="str">
        <f t="shared" si="0"/>
        <v>Fri</v>
      </c>
      <c r="P5" s="13" t="str">
        <f t="shared" si="0"/>
        <v>Sat</v>
      </c>
      <c r="Q5" s="13" t="str">
        <f t="shared" si="0"/>
        <v>Sun</v>
      </c>
      <c r="R5" s="13" t="str">
        <f t="shared" si="0"/>
        <v>Mon</v>
      </c>
      <c r="S5" s="13" t="str">
        <f t="shared" si="0"/>
        <v>Tue</v>
      </c>
      <c r="T5" s="13" t="str">
        <f t="shared" si="0"/>
        <v>Wed</v>
      </c>
      <c r="U5" s="13" t="str">
        <f t="shared" si="0"/>
        <v>Thu</v>
      </c>
      <c r="V5" s="13" t="str">
        <f t="shared" si="0"/>
        <v>Fri</v>
      </c>
      <c r="W5" s="13" t="str">
        <f t="shared" si="0"/>
        <v>Sat</v>
      </c>
      <c r="X5" s="13" t="str">
        <f t="shared" si="0"/>
        <v>Sun</v>
      </c>
      <c r="Y5" s="13" t="str">
        <f t="shared" si="0"/>
        <v>Mon</v>
      </c>
      <c r="Z5" s="13" t="str">
        <f t="shared" si="0"/>
        <v>Tue</v>
      </c>
      <c r="AA5" s="13" t="str">
        <f t="shared" si="0"/>
        <v>Wed</v>
      </c>
      <c r="AB5" s="13" t="str">
        <f t="shared" si="0"/>
        <v>Thu</v>
      </c>
      <c r="AC5" s="13" t="str">
        <f t="shared" si="0"/>
        <v>Fri</v>
      </c>
      <c r="AD5" s="13" t="str">
        <f t="shared" si="0"/>
        <v>Sat</v>
      </c>
      <c r="AE5" s="13" t="str">
        <f t="shared" si="0"/>
        <v>Sun</v>
      </c>
      <c r="AF5" s="13" t="str">
        <f t="shared" si="0"/>
        <v>Mon</v>
      </c>
      <c r="AG5" s="13" t="str">
        <f t="shared" si="0"/>
        <v>Tue</v>
      </c>
      <c r="AH5" s="13" t="str">
        <f t="shared" si="0"/>
        <v>Wed</v>
      </c>
      <c r="AI5" s="13" t="str">
        <f t="shared" si="0"/>
        <v>Thu</v>
      </c>
      <c r="AJ5" s="13" t="str">
        <f t="shared" si="0"/>
        <v>Fri</v>
      </c>
      <c r="AK5" s="13" t="str">
        <f t="shared" si="0"/>
        <v>Sat</v>
      </c>
      <c r="AL5" s="13" t="str">
        <f t="shared" si="0"/>
        <v>Sun</v>
      </c>
      <c r="AM5" s="14" t="str">
        <f t="shared" si="0"/>
        <v/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7" t="s">
        <v>2</v>
      </c>
      <c r="H6" s="33" t="s">
        <v>27</v>
      </c>
      <c r="I6" s="34">
        <f>F4</f>
        <v>45962</v>
      </c>
      <c r="J6" s="34">
        <f>IF(I6&lt;$J$4,I6+1,"")</f>
        <v>45963</v>
      </c>
      <c r="K6" s="34">
        <f t="shared" ref="K6:AM6" si="1">IF(J6&lt;$J$4,J6+1,"")</f>
        <v>45964</v>
      </c>
      <c r="L6" s="34">
        <f t="shared" si="1"/>
        <v>45965</v>
      </c>
      <c r="M6" s="34">
        <f t="shared" si="1"/>
        <v>45966</v>
      </c>
      <c r="N6" s="34">
        <f t="shared" si="1"/>
        <v>45967</v>
      </c>
      <c r="O6" s="34">
        <f t="shared" si="1"/>
        <v>45968</v>
      </c>
      <c r="P6" s="34">
        <f t="shared" si="1"/>
        <v>45969</v>
      </c>
      <c r="Q6" s="34">
        <f t="shared" si="1"/>
        <v>45970</v>
      </c>
      <c r="R6" s="34">
        <f t="shared" si="1"/>
        <v>45971</v>
      </c>
      <c r="S6" s="34">
        <f t="shared" si="1"/>
        <v>45972</v>
      </c>
      <c r="T6" s="34">
        <f t="shared" si="1"/>
        <v>45973</v>
      </c>
      <c r="U6" s="34">
        <f t="shared" si="1"/>
        <v>45974</v>
      </c>
      <c r="V6" s="34">
        <f t="shared" si="1"/>
        <v>45975</v>
      </c>
      <c r="W6" s="34">
        <f t="shared" si="1"/>
        <v>45976</v>
      </c>
      <c r="X6" s="34">
        <f t="shared" si="1"/>
        <v>45977</v>
      </c>
      <c r="Y6" s="34">
        <f t="shared" si="1"/>
        <v>45978</v>
      </c>
      <c r="Z6" s="34">
        <f t="shared" si="1"/>
        <v>45979</v>
      </c>
      <c r="AA6" s="34">
        <f t="shared" si="1"/>
        <v>45980</v>
      </c>
      <c r="AB6" s="34">
        <f t="shared" si="1"/>
        <v>45981</v>
      </c>
      <c r="AC6" s="34">
        <f t="shared" si="1"/>
        <v>45982</v>
      </c>
      <c r="AD6" s="34">
        <f t="shared" si="1"/>
        <v>45983</v>
      </c>
      <c r="AE6" s="34">
        <f t="shared" si="1"/>
        <v>45984</v>
      </c>
      <c r="AF6" s="34">
        <f t="shared" si="1"/>
        <v>45985</v>
      </c>
      <c r="AG6" s="34">
        <f t="shared" si="1"/>
        <v>45986</v>
      </c>
      <c r="AH6" s="34">
        <f t="shared" si="1"/>
        <v>45987</v>
      </c>
      <c r="AI6" s="34">
        <f t="shared" si="1"/>
        <v>45988</v>
      </c>
      <c r="AJ6" s="34">
        <f t="shared" si="1"/>
        <v>45989</v>
      </c>
      <c r="AK6" s="34">
        <f t="shared" si="1"/>
        <v>45990</v>
      </c>
      <c r="AL6" s="34">
        <f t="shared" si="1"/>
        <v>45991</v>
      </c>
      <c r="AM6" s="36" t="str">
        <f t="shared" si="1"/>
        <v/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38">
        <v>10001</v>
      </c>
      <c r="H7" s="9">
        <f t="shared" ref="H7:H26" si="2">COUNTIF($I$5:$AL$5,"Sun")</f>
        <v>5</v>
      </c>
      <c r="I7" s="15" t="s">
        <v>41</v>
      </c>
      <c r="J7" s="15" t="str">
        <f t="shared" ref="J7:X22" si="3">IF(J$5="Sun","WO","")</f>
        <v>WO</v>
      </c>
      <c r="K7" s="15" t="s">
        <v>41</v>
      </c>
      <c r="L7" s="15" t="s">
        <v>41</v>
      </c>
      <c r="M7" s="15" t="s">
        <v>41</v>
      </c>
      <c r="N7" s="15" t="s">
        <v>41</v>
      </c>
      <c r="O7" s="15" t="s">
        <v>41</v>
      </c>
      <c r="P7" s="15" t="s">
        <v>41</v>
      </c>
      <c r="Q7" s="15" t="str">
        <f t="shared" si="3"/>
        <v>WO</v>
      </c>
      <c r="R7" s="45" t="s">
        <v>41</v>
      </c>
      <c r="S7" s="45" t="s">
        <v>41</v>
      </c>
      <c r="T7" s="45" t="s">
        <v>41</v>
      </c>
      <c r="U7" s="45" t="s">
        <v>41</v>
      </c>
      <c r="V7" s="45" t="s">
        <v>41</v>
      </c>
      <c r="W7" s="45" t="s">
        <v>41</v>
      </c>
      <c r="X7" s="15" t="str">
        <f t="shared" si="3"/>
        <v>WO</v>
      </c>
      <c r="Y7" s="45" t="s">
        <v>41</v>
      </c>
      <c r="Z7" s="45" t="s">
        <v>41</v>
      </c>
      <c r="AA7" s="45" t="s">
        <v>41</v>
      </c>
      <c r="AB7" s="45" t="s">
        <v>41</v>
      </c>
      <c r="AC7" s="45" t="s">
        <v>41</v>
      </c>
      <c r="AD7" s="45" t="s">
        <v>41</v>
      </c>
      <c r="AE7" s="15" t="str">
        <f t="shared" ref="AE7:AL22" si="4">IF(AE$5="Sun","WO","")</f>
        <v>WO</v>
      </c>
      <c r="AF7" s="15" t="s">
        <v>41</v>
      </c>
      <c r="AG7" s="15" t="s">
        <v>41</v>
      </c>
      <c r="AH7" s="15" t="s">
        <v>41</v>
      </c>
      <c r="AI7" s="15" t="s">
        <v>41</v>
      </c>
      <c r="AJ7" s="15" t="s">
        <v>41</v>
      </c>
      <c r="AK7" s="15" t="s">
        <v>41</v>
      </c>
      <c r="AL7" s="15" t="str">
        <f t="shared" si="4"/>
        <v>WO</v>
      </c>
      <c r="AM7" s="16"/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November</v>
      </c>
      <c r="AT7" s="7">
        <v>10001</v>
      </c>
      <c r="AU7" s="21">
        <f t="shared" ref="AU7:AU26" si="6">COUNTIF($I7:$AM7,"P")</f>
        <v>25</v>
      </c>
      <c r="AV7" s="21">
        <f t="shared" ref="AV7:AV26" si="7">COUNTIF($I7:$AM7,"A")</f>
        <v>0</v>
      </c>
      <c r="AW7" s="21">
        <f t="shared" ref="AW7:AW26" si="8">COUNTIF($I7:$AM7,"L")</f>
        <v>0</v>
      </c>
      <c r="AX7" s="21">
        <f t="shared" ref="AX7:AX26" si="9">$H$7</f>
        <v>5</v>
      </c>
      <c r="AY7" s="22">
        <f t="shared" ref="AY7:AY26" si="10">$H$4</f>
        <v>30</v>
      </c>
      <c r="AZ7" s="22">
        <f>JanReport23[[#This Row],[Days]]-JanReport23[[#This Row],[Abesent]]</f>
        <v>30</v>
      </c>
      <c r="BA7" s="23">
        <v>10000</v>
      </c>
      <c r="BB7" s="24">
        <f>JanReport23[[#This Row],[Salary]]/JanReport23[[#This Row],[Days]]</f>
        <v>333.33333333333331</v>
      </c>
      <c r="BC7" s="24">
        <f>JanReport23[[#This Row],[PerDaySalary]]*JanReport23[[#This Row],[Abesent]]</f>
        <v>0</v>
      </c>
      <c r="BD7" s="24">
        <f>JanReport23[[#This Row],[Salary]]-JanReport23[[#This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38">
        <v>10002</v>
      </c>
      <c r="H8" s="9">
        <f t="shared" si="2"/>
        <v>5</v>
      </c>
      <c r="I8" s="15" t="s">
        <v>41</v>
      </c>
      <c r="J8" s="15" t="str">
        <f t="shared" si="3"/>
        <v>WO</v>
      </c>
      <c r="K8" s="15" t="s">
        <v>41</v>
      </c>
      <c r="L8" s="15" t="s">
        <v>41</v>
      </c>
      <c r="M8" s="15" t="s">
        <v>41</v>
      </c>
      <c r="N8" s="15" t="s">
        <v>41</v>
      </c>
      <c r="O8" s="15" t="s">
        <v>41</v>
      </c>
      <c r="P8" s="15" t="s">
        <v>41</v>
      </c>
      <c r="Q8" s="15" t="str">
        <f t="shared" si="3"/>
        <v>WO</v>
      </c>
      <c r="R8" s="45" t="s">
        <v>41</v>
      </c>
      <c r="S8" s="15" t="s">
        <v>42</v>
      </c>
      <c r="T8" s="45" t="s">
        <v>41</v>
      </c>
      <c r="U8" s="45" t="s">
        <v>41</v>
      </c>
      <c r="V8" s="45" t="s">
        <v>41</v>
      </c>
      <c r="W8" s="45" t="s">
        <v>41</v>
      </c>
      <c r="X8" s="15" t="str">
        <f t="shared" si="3"/>
        <v>WO</v>
      </c>
      <c r="Y8" s="45" t="s">
        <v>41</v>
      </c>
      <c r="Z8" s="45" t="s">
        <v>41</v>
      </c>
      <c r="AA8" s="45" t="s">
        <v>41</v>
      </c>
      <c r="AB8" s="45" t="s">
        <v>41</v>
      </c>
      <c r="AC8" s="45" t="s">
        <v>41</v>
      </c>
      <c r="AD8" s="45" t="s">
        <v>41</v>
      </c>
      <c r="AE8" s="15" t="str">
        <f t="shared" si="4"/>
        <v>WO</v>
      </c>
      <c r="AF8" s="15" t="s">
        <v>41</v>
      </c>
      <c r="AG8" s="15" t="s">
        <v>42</v>
      </c>
      <c r="AH8" s="15" t="s">
        <v>42</v>
      </c>
      <c r="AI8" s="15" t="s">
        <v>42</v>
      </c>
      <c r="AJ8" s="15" t="s">
        <v>41</v>
      </c>
      <c r="AK8" s="15" t="s">
        <v>41</v>
      </c>
      <c r="AL8" s="15" t="str">
        <f t="shared" si="4"/>
        <v>WO</v>
      </c>
      <c r="AM8" s="16"/>
      <c r="AN8" s="41"/>
      <c r="AO8" s="41"/>
      <c r="AP8" s="31"/>
      <c r="AQ8" s="9">
        <v>2</v>
      </c>
      <c r="AR8" s="9" t="s">
        <v>4</v>
      </c>
      <c r="AS8" s="9" t="str">
        <f t="shared" si="5"/>
        <v>November</v>
      </c>
      <c r="AT8" s="10">
        <v>10002</v>
      </c>
      <c r="AU8" s="15">
        <f t="shared" si="6"/>
        <v>21</v>
      </c>
      <c r="AV8" s="15">
        <f t="shared" si="7"/>
        <v>4</v>
      </c>
      <c r="AW8" s="15">
        <f t="shared" si="8"/>
        <v>0</v>
      </c>
      <c r="AX8" s="15">
        <f t="shared" si="9"/>
        <v>5</v>
      </c>
      <c r="AY8" s="25">
        <f t="shared" si="10"/>
        <v>30</v>
      </c>
      <c r="AZ8" s="25">
        <f>JanReport23[[#This Row],[Days]]-JanReport23[[#This Row],[Abesent]]</f>
        <v>26</v>
      </c>
      <c r="BA8" s="26">
        <v>15000</v>
      </c>
      <c r="BB8" s="27">
        <f>JanReport23[[#This Row],[Salary]]/JanReport23[[#This Row],[Days]]</f>
        <v>500</v>
      </c>
      <c r="BC8" s="27">
        <f>JanReport23[[#This Row],[PerDaySalary]]*JanReport23[[#This Row],[Abesent]]</f>
        <v>2000</v>
      </c>
      <c r="BD8" s="27">
        <f>JanReport23[[#This Row],[Salary]]-JanReport23[[#This Row],[Deduction]]</f>
        <v>13000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38">
        <v>10003</v>
      </c>
      <c r="H9" s="9">
        <f t="shared" si="2"/>
        <v>5</v>
      </c>
      <c r="I9" s="15" t="s">
        <v>42</v>
      </c>
      <c r="J9" s="15" t="str">
        <f t="shared" si="3"/>
        <v>WO</v>
      </c>
      <c r="K9" s="15" t="s">
        <v>41</v>
      </c>
      <c r="L9" s="15" t="s">
        <v>41</v>
      </c>
      <c r="M9" s="15" t="s">
        <v>41</v>
      </c>
      <c r="N9" s="15" t="s">
        <v>41</v>
      </c>
      <c r="O9" s="15" t="s">
        <v>41</v>
      </c>
      <c r="P9" s="15" t="s">
        <v>41</v>
      </c>
      <c r="Q9" s="15" t="str">
        <f t="shared" si="3"/>
        <v>WO</v>
      </c>
      <c r="R9" s="45" t="s">
        <v>41</v>
      </c>
      <c r="S9" s="45" t="s">
        <v>41</v>
      </c>
      <c r="T9" s="45" t="s">
        <v>41</v>
      </c>
      <c r="U9" s="45" t="s">
        <v>43</v>
      </c>
      <c r="V9" s="45" t="s">
        <v>41</v>
      </c>
      <c r="W9" s="45" t="s">
        <v>41</v>
      </c>
      <c r="X9" s="15" t="str">
        <f t="shared" si="3"/>
        <v>WO</v>
      </c>
      <c r="Y9" s="45" t="s">
        <v>41</v>
      </c>
      <c r="Z9" s="45" t="s">
        <v>41</v>
      </c>
      <c r="AA9" s="45" t="s">
        <v>41</v>
      </c>
      <c r="AB9" s="45" t="s">
        <v>41</v>
      </c>
      <c r="AC9" s="45" t="s">
        <v>41</v>
      </c>
      <c r="AD9" s="45" t="s">
        <v>41</v>
      </c>
      <c r="AE9" s="15" t="str">
        <f t="shared" si="4"/>
        <v>WO</v>
      </c>
      <c r="AF9" s="15" t="s">
        <v>41</v>
      </c>
      <c r="AG9" s="15" t="s">
        <v>42</v>
      </c>
      <c r="AH9" s="15" t="s">
        <v>42</v>
      </c>
      <c r="AI9" s="15" t="s">
        <v>42</v>
      </c>
      <c r="AJ9" s="15" t="s">
        <v>41</v>
      </c>
      <c r="AK9" s="15" t="s">
        <v>41</v>
      </c>
      <c r="AL9" s="15" t="str">
        <f t="shared" si="4"/>
        <v>WO</v>
      </c>
      <c r="AM9" s="16"/>
      <c r="AN9" s="41"/>
      <c r="AO9" s="41"/>
      <c r="AP9" s="30"/>
      <c r="AQ9" s="9">
        <v>3</v>
      </c>
      <c r="AR9" s="9" t="s">
        <v>5</v>
      </c>
      <c r="AS9" s="9" t="str">
        <f t="shared" si="5"/>
        <v>November</v>
      </c>
      <c r="AT9" s="10">
        <v>10003</v>
      </c>
      <c r="AU9" s="15">
        <f t="shared" si="6"/>
        <v>20</v>
      </c>
      <c r="AV9" s="15">
        <f t="shared" si="7"/>
        <v>4</v>
      </c>
      <c r="AW9" s="15">
        <f t="shared" si="8"/>
        <v>1</v>
      </c>
      <c r="AX9" s="15">
        <f t="shared" si="9"/>
        <v>5</v>
      </c>
      <c r="AY9" s="25">
        <f t="shared" si="10"/>
        <v>30</v>
      </c>
      <c r="AZ9" s="25">
        <f>JanReport23[[#This Row],[Days]]-JanReport23[[#This Row],[Abesent]]</f>
        <v>26</v>
      </c>
      <c r="BA9" s="26">
        <v>20000</v>
      </c>
      <c r="BB9" s="27">
        <f>JanReport23[[#This Row],[Salary]]/JanReport23[[#This Row],[Days]]</f>
        <v>666.66666666666663</v>
      </c>
      <c r="BC9" s="27">
        <f>JanReport23[[#This Row],[PerDaySalary]]*JanReport23[[#This Row],[Abesent]]</f>
        <v>2666.6666666666665</v>
      </c>
      <c r="BD9" s="27">
        <f>JanReport23[[#This Row],[Salary]]-JanReport23[[#This Row],[Deduction]]</f>
        <v>17333.333333333332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38">
        <v>10004</v>
      </c>
      <c r="H10" s="9">
        <f t="shared" si="2"/>
        <v>5</v>
      </c>
      <c r="I10" s="15" t="s">
        <v>41</v>
      </c>
      <c r="J10" s="15" t="str">
        <f t="shared" si="3"/>
        <v>WO</v>
      </c>
      <c r="K10" s="15" t="s">
        <v>41</v>
      </c>
      <c r="L10" s="15" t="s">
        <v>41</v>
      </c>
      <c r="M10" s="15" t="s">
        <v>41</v>
      </c>
      <c r="N10" s="45" t="s">
        <v>43</v>
      </c>
      <c r="O10" s="15" t="s">
        <v>41</v>
      </c>
      <c r="P10" s="15" t="s">
        <v>41</v>
      </c>
      <c r="Q10" s="15" t="str">
        <f t="shared" si="3"/>
        <v>WO</v>
      </c>
      <c r="R10" s="45" t="s">
        <v>41</v>
      </c>
      <c r="S10" s="45" t="s">
        <v>41</v>
      </c>
      <c r="T10" s="45" t="s">
        <v>41</v>
      </c>
      <c r="U10" s="45" t="s">
        <v>41</v>
      </c>
      <c r="V10" s="45" t="s">
        <v>41</v>
      </c>
      <c r="W10" s="45" t="s">
        <v>41</v>
      </c>
      <c r="X10" s="15" t="str">
        <f t="shared" si="3"/>
        <v>WO</v>
      </c>
      <c r="Y10" s="45" t="s">
        <v>41</v>
      </c>
      <c r="Z10" s="45" t="s">
        <v>41</v>
      </c>
      <c r="AA10" s="45" t="s">
        <v>41</v>
      </c>
      <c r="AB10" s="45" t="s">
        <v>41</v>
      </c>
      <c r="AC10" s="45" t="s">
        <v>41</v>
      </c>
      <c r="AD10" s="45" t="s">
        <v>41</v>
      </c>
      <c r="AE10" s="15" t="str">
        <f t="shared" si="4"/>
        <v>WO</v>
      </c>
      <c r="AF10" s="15" t="s">
        <v>41</v>
      </c>
      <c r="AG10" s="15" t="s">
        <v>42</v>
      </c>
      <c r="AH10" s="15" t="s">
        <v>42</v>
      </c>
      <c r="AI10" s="15" t="s">
        <v>42</v>
      </c>
      <c r="AJ10" s="15" t="s">
        <v>41</v>
      </c>
      <c r="AK10" s="15" t="s">
        <v>41</v>
      </c>
      <c r="AL10" s="15" t="str">
        <f t="shared" si="4"/>
        <v>WO</v>
      </c>
      <c r="AM10" s="16"/>
      <c r="AN10" s="41"/>
      <c r="AO10" s="41"/>
      <c r="AP10" s="30"/>
      <c r="AQ10" s="9">
        <v>4</v>
      </c>
      <c r="AR10" s="9" t="s">
        <v>6</v>
      </c>
      <c r="AS10" s="9" t="str">
        <f t="shared" si="5"/>
        <v>November</v>
      </c>
      <c r="AT10" s="10">
        <v>10004</v>
      </c>
      <c r="AU10" s="15">
        <f t="shared" si="6"/>
        <v>21</v>
      </c>
      <c r="AV10" s="15">
        <f t="shared" si="7"/>
        <v>3</v>
      </c>
      <c r="AW10" s="15">
        <f t="shared" si="8"/>
        <v>1</v>
      </c>
      <c r="AX10" s="15">
        <f t="shared" si="9"/>
        <v>5</v>
      </c>
      <c r="AY10" s="25">
        <f t="shared" si="10"/>
        <v>30</v>
      </c>
      <c r="AZ10" s="25">
        <f>JanReport23[[#This Row],[Days]]-JanReport23[[#This Row],[Abesent]]</f>
        <v>27</v>
      </c>
      <c r="BA10" s="26">
        <v>21000</v>
      </c>
      <c r="BB10" s="27">
        <f>JanReport23[[#This Row],[Salary]]/JanReport23[[#This Row],[Days]]</f>
        <v>700</v>
      </c>
      <c r="BC10" s="27">
        <f>JanReport23[[#This Row],[PerDaySalary]]*JanReport23[[#This Row],[Abesent]]</f>
        <v>2100</v>
      </c>
      <c r="BD10" s="27">
        <f>JanReport23[[#This Row],[Salary]]-JanReport23[[#This Row],[Deduction]]</f>
        <v>18900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38">
        <v>10005</v>
      </c>
      <c r="H11" s="9">
        <f t="shared" si="2"/>
        <v>5</v>
      </c>
      <c r="I11" s="15" t="s">
        <v>41</v>
      </c>
      <c r="J11" s="15" t="str">
        <f t="shared" si="3"/>
        <v>WO</v>
      </c>
      <c r="K11" s="15" t="s">
        <v>41</v>
      </c>
      <c r="L11" s="15" t="s">
        <v>41</v>
      </c>
      <c r="M11" s="15" t="s">
        <v>41</v>
      </c>
      <c r="N11" s="15" t="s">
        <v>41</v>
      </c>
      <c r="O11" s="15" t="s">
        <v>41</v>
      </c>
      <c r="P11" s="15" t="s">
        <v>41</v>
      </c>
      <c r="Q11" s="15" t="str">
        <f t="shared" si="3"/>
        <v>WO</v>
      </c>
      <c r="R11" s="45" t="s">
        <v>41</v>
      </c>
      <c r="S11" s="45" t="s">
        <v>41</v>
      </c>
      <c r="T11" s="45" t="s">
        <v>41</v>
      </c>
      <c r="U11" s="45" t="s">
        <v>41</v>
      </c>
      <c r="V11" s="45" t="s">
        <v>41</v>
      </c>
      <c r="W11" s="45" t="s">
        <v>41</v>
      </c>
      <c r="X11" s="15" t="str">
        <f t="shared" si="3"/>
        <v>WO</v>
      </c>
      <c r="Y11" s="45" t="s">
        <v>41</v>
      </c>
      <c r="Z11" s="45" t="s">
        <v>41</v>
      </c>
      <c r="AA11" s="45" t="s">
        <v>41</v>
      </c>
      <c r="AB11" s="15" t="s">
        <v>42</v>
      </c>
      <c r="AC11" s="45" t="s">
        <v>41</v>
      </c>
      <c r="AD11" s="45" t="s">
        <v>41</v>
      </c>
      <c r="AE11" s="15" t="str">
        <f t="shared" si="4"/>
        <v>WO</v>
      </c>
      <c r="AF11" s="15" t="s">
        <v>41</v>
      </c>
      <c r="AG11" s="15" t="s">
        <v>42</v>
      </c>
      <c r="AH11" s="15" t="s">
        <v>42</v>
      </c>
      <c r="AI11" s="15" t="s">
        <v>42</v>
      </c>
      <c r="AJ11" s="15" t="s">
        <v>41</v>
      </c>
      <c r="AK11" s="15" t="s">
        <v>41</v>
      </c>
      <c r="AL11" s="15" t="str">
        <f t="shared" si="4"/>
        <v>WO</v>
      </c>
      <c r="AM11" s="16"/>
      <c r="AN11" s="41"/>
      <c r="AO11" s="41"/>
      <c r="AP11" s="30"/>
      <c r="AQ11" s="9">
        <v>5</v>
      </c>
      <c r="AR11" s="9" t="s">
        <v>7</v>
      </c>
      <c r="AS11" s="9" t="str">
        <f t="shared" si="5"/>
        <v>November</v>
      </c>
      <c r="AT11" s="10">
        <v>10005</v>
      </c>
      <c r="AU11" s="15">
        <f t="shared" si="6"/>
        <v>21</v>
      </c>
      <c r="AV11" s="15">
        <f t="shared" si="7"/>
        <v>4</v>
      </c>
      <c r="AW11" s="15">
        <f t="shared" si="8"/>
        <v>0</v>
      </c>
      <c r="AX11" s="15">
        <f t="shared" si="9"/>
        <v>5</v>
      </c>
      <c r="AY11" s="25">
        <f t="shared" si="10"/>
        <v>30</v>
      </c>
      <c r="AZ11" s="25">
        <f>JanReport23[[#This Row],[Days]]-JanReport23[[#This Row],[Abesent]]</f>
        <v>26</v>
      </c>
      <c r="BA11" s="26">
        <v>18000</v>
      </c>
      <c r="BB11" s="27">
        <f>JanReport23[[#This Row],[Salary]]/JanReport23[[#This Row],[Days]]</f>
        <v>600</v>
      </c>
      <c r="BC11" s="27">
        <f>JanReport23[[#This Row],[PerDaySalary]]*JanReport23[[#This Row],[Abesent]]</f>
        <v>2400</v>
      </c>
      <c r="BD11" s="27">
        <f>JanReport23[[#This Row],[Salary]]-JanReport23[[#This Row],[Deduction]]</f>
        <v>15600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38">
        <v>10006</v>
      </c>
      <c r="H12" s="9">
        <f t="shared" si="2"/>
        <v>5</v>
      </c>
      <c r="I12" s="15" t="s">
        <v>41</v>
      </c>
      <c r="J12" s="15" t="str">
        <f t="shared" si="3"/>
        <v>WO</v>
      </c>
      <c r="K12" s="15" t="s">
        <v>41</v>
      </c>
      <c r="L12" s="15" t="s">
        <v>41</v>
      </c>
      <c r="M12" s="15" t="s">
        <v>41</v>
      </c>
      <c r="N12" s="15" t="s">
        <v>41</v>
      </c>
      <c r="O12" s="15" t="s">
        <v>41</v>
      </c>
      <c r="P12" s="15" t="s">
        <v>41</v>
      </c>
      <c r="Q12" s="15" t="str">
        <f t="shared" si="3"/>
        <v>WO</v>
      </c>
      <c r="R12" s="45" t="s">
        <v>41</v>
      </c>
      <c r="S12" s="45" t="s">
        <v>41</v>
      </c>
      <c r="T12" s="45" t="s">
        <v>41</v>
      </c>
      <c r="U12" s="45" t="s">
        <v>41</v>
      </c>
      <c r="V12" s="45" t="s">
        <v>41</v>
      </c>
      <c r="W12" s="45" t="s">
        <v>41</v>
      </c>
      <c r="X12" s="15" t="str">
        <f t="shared" si="3"/>
        <v>WO</v>
      </c>
      <c r="Y12" s="45" t="s">
        <v>41</v>
      </c>
      <c r="Z12" s="45" t="s">
        <v>41</v>
      </c>
      <c r="AA12" s="45" t="s">
        <v>41</v>
      </c>
      <c r="AB12" s="45" t="s">
        <v>41</v>
      </c>
      <c r="AC12" s="45" t="s">
        <v>41</v>
      </c>
      <c r="AD12" s="45" t="s">
        <v>41</v>
      </c>
      <c r="AE12" s="15" t="str">
        <f t="shared" si="4"/>
        <v>WO</v>
      </c>
      <c r="AF12" s="15" t="s">
        <v>41</v>
      </c>
      <c r="AG12" s="15" t="s">
        <v>42</v>
      </c>
      <c r="AH12" s="15" t="s">
        <v>42</v>
      </c>
      <c r="AI12" s="15" t="s">
        <v>42</v>
      </c>
      <c r="AJ12" s="15" t="s">
        <v>41</v>
      </c>
      <c r="AK12" s="15" t="s">
        <v>41</v>
      </c>
      <c r="AL12" s="15" t="str">
        <f t="shared" si="4"/>
        <v>WO</v>
      </c>
      <c r="AM12" s="16"/>
      <c r="AN12" s="41"/>
      <c r="AO12" s="41"/>
      <c r="AP12" s="30"/>
      <c r="AQ12" s="9">
        <v>6</v>
      </c>
      <c r="AR12" s="9" t="s">
        <v>8</v>
      </c>
      <c r="AS12" s="9" t="str">
        <f t="shared" si="5"/>
        <v>November</v>
      </c>
      <c r="AT12" s="10">
        <v>10006</v>
      </c>
      <c r="AU12" s="15">
        <f t="shared" si="6"/>
        <v>22</v>
      </c>
      <c r="AV12" s="15">
        <f t="shared" si="7"/>
        <v>3</v>
      </c>
      <c r="AW12" s="15">
        <f t="shared" si="8"/>
        <v>0</v>
      </c>
      <c r="AX12" s="15">
        <f t="shared" si="9"/>
        <v>5</v>
      </c>
      <c r="AY12" s="25">
        <f t="shared" si="10"/>
        <v>30</v>
      </c>
      <c r="AZ12" s="25">
        <f>JanReport23[[#This Row],[Days]]-JanReport23[[#This Row],[Abesent]]</f>
        <v>27</v>
      </c>
      <c r="BA12" s="26">
        <v>17000</v>
      </c>
      <c r="BB12" s="27">
        <f>JanReport23[[#This Row],[Salary]]/JanReport23[[#This Row],[Days]]</f>
        <v>566.66666666666663</v>
      </c>
      <c r="BC12" s="27">
        <f>JanReport23[[#This Row],[PerDaySalary]]*JanReport23[[#This Row],[Abesent]]</f>
        <v>1700</v>
      </c>
      <c r="BD12" s="27">
        <f>JanReport23[[#This Row],[Salary]]-JanReport23[[#This Row],[Deduction]]</f>
        <v>15300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38">
        <v>10007</v>
      </c>
      <c r="H13" s="9">
        <f t="shared" si="2"/>
        <v>5</v>
      </c>
      <c r="I13" s="15" t="s">
        <v>41</v>
      </c>
      <c r="J13" s="15" t="str">
        <f t="shared" si="3"/>
        <v>WO</v>
      </c>
      <c r="K13" s="15" t="s">
        <v>41</v>
      </c>
      <c r="L13" s="15" t="s">
        <v>41</v>
      </c>
      <c r="M13" s="15" t="s">
        <v>42</v>
      </c>
      <c r="N13" s="15" t="s">
        <v>41</v>
      </c>
      <c r="O13" s="15" t="s">
        <v>41</v>
      </c>
      <c r="P13" s="15" t="s">
        <v>41</v>
      </c>
      <c r="Q13" s="15" t="str">
        <f t="shared" si="3"/>
        <v>WO</v>
      </c>
      <c r="R13" s="45" t="s">
        <v>41</v>
      </c>
      <c r="S13" s="45" t="s">
        <v>41</v>
      </c>
      <c r="T13" s="45" t="s">
        <v>41</v>
      </c>
      <c r="U13" s="45" t="s">
        <v>41</v>
      </c>
      <c r="V13" s="45" t="s">
        <v>41</v>
      </c>
      <c r="W13" s="45" t="s">
        <v>41</v>
      </c>
      <c r="X13" s="15" t="str">
        <f t="shared" si="3"/>
        <v>WO</v>
      </c>
      <c r="Y13" s="45" t="s">
        <v>41</v>
      </c>
      <c r="Z13" s="45" t="s">
        <v>41</v>
      </c>
      <c r="AA13" s="45" t="s">
        <v>41</v>
      </c>
      <c r="AB13" s="45" t="s">
        <v>41</v>
      </c>
      <c r="AC13" s="45" t="s">
        <v>41</v>
      </c>
      <c r="AD13" s="45" t="s">
        <v>41</v>
      </c>
      <c r="AE13" s="15" t="str">
        <f t="shared" si="4"/>
        <v>WO</v>
      </c>
      <c r="AF13" s="15" t="s">
        <v>41</v>
      </c>
      <c r="AG13" s="15" t="s">
        <v>41</v>
      </c>
      <c r="AH13" s="15" t="s">
        <v>41</v>
      </c>
      <c r="AI13" s="15" t="s">
        <v>41</v>
      </c>
      <c r="AJ13" s="15" t="s">
        <v>41</v>
      </c>
      <c r="AK13" s="15" t="s">
        <v>41</v>
      </c>
      <c r="AL13" s="15" t="str">
        <f t="shared" si="4"/>
        <v>WO</v>
      </c>
      <c r="AM13" s="16"/>
      <c r="AN13" s="41"/>
      <c r="AO13" s="41"/>
      <c r="AP13" s="30"/>
      <c r="AQ13" s="9">
        <v>7</v>
      </c>
      <c r="AR13" s="9" t="s">
        <v>9</v>
      </c>
      <c r="AS13" s="9" t="str">
        <f t="shared" si="5"/>
        <v>November</v>
      </c>
      <c r="AT13" s="10">
        <v>10007</v>
      </c>
      <c r="AU13" s="15">
        <f t="shared" si="6"/>
        <v>24</v>
      </c>
      <c r="AV13" s="15">
        <f t="shared" si="7"/>
        <v>1</v>
      </c>
      <c r="AW13" s="15">
        <f t="shared" si="8"/>
        <v>0</v>
      </c>
      <c r="AX13" s="15">
        <f t="shared" si="9"/>
        <v>5</v>
      </c>
      <c r="AY13" s="25">
        <f t="shared" si="10"/>
        <v>30</v>
      </c>
      <c r="AZ13" s="25">
        <f>JanReport23[[#This Row],[Days]]-JanReport23[[#This Row],[Abesent]]</f>
        <v>29</v>
      </c>
      <c r="BA13" s="26">
        <v>15000</v>
      </c>
      <c r="BB13" s="27">
        <f>JanReport23[[#This Row],[Salary]]/JanReport23[[#This Row],[Days]]</f>
        <v>500</v>
      </c>
      <c r="BC13" s="27">
        <f>JanReport23[[#This Row],[PerDaySalary]]*JanReport23[[#This Row],[Abesent]]</f>
        <v>500</v>
      </c>
      <c r="BD13" s="27">
        <f>JanReport23[[#This Row],[Salary]]-JanReport23[[#This Row],[Deduction]]</f>
        <v>14500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38">
        <v>10008</v>
      </c>
      <c r="H14" s="9">
        <f t="shared" si="2"/>
        <v>5</v>
      </c>
      <c r="I14" s="15" t="s">
        <v>41</v>
      </c>
      <c r="J14" s="15" t="str">
        <f t="shared" si="3"/>
        <v>WO</v>
      </c>
      <c r="K14" s="15" t="s">
        <v>41</v>
      </c>
      <c r="L14" s="15" t="s">
        <v>41</v>
      </c>
      <c r="M14" s="15" t="s">
        <v>41</v>
      </c>
      <c r="N14" s="15" t="s">
        <v>41</v>
      </c>
      <c r="O14" s="15" t="s">
        <v>41</v>
      </c>
      <c r="P14" s="15" t="s">
        <v>41</v>
      </c>
      <c r="Q14" s="15" t="str">
        <f t="shared" si="3"/>
        <v>WO</v>
      </c>
      <c r="R14" s="45" t="s">
        <v>41</v>
      </c>
      <c r="S14" s="45" t="s">
        <v>41</v>
      </c>
      <c r="T14" s="45" t="s">
        <v>41</v>
      </c>
      <c r="U14" s="45" t="s">
        <v>41</v>
      </c>
      <c r="V14" s="45" t="s">
        <v>41</v>
      </c>
      <c r="W14" s="45" t="s">
        <v>41</v>
      </c>
      <c r="X14" s="15" t="str">
        <f t="shared" si="3"/>
        <v>WO</v>
      </c>
      <c r="Y14" s="45" t="s">
        <v>41</v>
      </c>
      <c r="Z14" s="45" t="s">
        <v>41</v>
      </c>
      <c r="AA14" s="45" t="s">
        <v>41</v>
      </c>
      <c r="AB14" s="45" t="s">
        <v>41</v>
      </c>
      <c r="AC14" s="45" t="s">
        <v>41</v>
      </c>
      <c r="AD14" s="45" t="s">
        <v>41</v>
      </c>
      <c r="AE14" s="15" t="str">
        <f t="shared" si="4"/>
        <v>WO</v>
      </c>
      <c r="AF14" s="15" t="s">
        <v>41</v>
      </c>
      <c r="AG14" s="15" t="s">
        <v>41</v>
      </c>
      <c r="AH14" s="15" t="s">
        <v>41</v>
      </c>
      <c r="AI14" s="15" t="s">
        <v>41</v>
      </c>
      <c r="AJ14" s="15" t="s">
        <v>41</v>
      </c>
      <c r="AK14" s="15" t="s">
        <v>41</v>
      </c>
      <c r="AL14" s="15" t="str">
        <f t="shared" si="4"/>
        <v>WO</v>
      </c>
      <c r="AM14" s="16"/>
      <c r="AN14" s="41"/>
      <c r="AO14" s="41"/>
      <c r="AP14" s="30"/>
      <c r="AQ14" s="9">
        <v>8</v>
      </c>
      <c r="AR14" s="9" t="s">
        <v>10</v>
      </c>
      <c r="AS14" s="9" t="str">
        <f t="shared" si="5"/>
        <v>November</v>
      </c>
      <c r="AT14" s="10">
        <v>10008</v>
      </c>
      <c r="AU14" s="15">
        <f t="shared" si="6"/>
        <v>25</v>
      </c>
      <c r="AV14" s="15">
        <f t="shared" si="7"/>
        <v>0</v>
      </c>
      <c r="AW14" s="15">
        <f t="shared" si="8"/>
        <v>0</v>
      </c>
      <c r="AX14" s="15">
        <f t="shared" si="9"/>
        <v>5</v>
      </c>
      <c r="AY14" s="25">
        <f t="shared" si="10"/>
        <v>30</v>
      </c>
      <c r="AZ14" s="25">
        <f>JanReport23[[#This Row],[Days]]-JanReport23[[#This Row],[Abesent]]</f>
        <v>30</v>
      </c>
      <c r="BA14" s="26">
        <v>21000</v>
      </c>
      <c r="BB14" s="27">
        <f>JanReport23[[#This Row],[Salary]]/JanReport23[[#This Row],[Days]]</f>
        <v>700</v>
      </c>
      <c r="BC14" s="27">
        <f>JanReport23[[#This Row],[PerDaySalary]]*JanReport23[[#This Row],[Abesent]]</f>
        <v>0</v>
      </c>
      <c r="BD14" s="27">
        <f>JanReport23[[#This Row],[Salary]]-JanReport23[[#This Row],[Deduction]]</f>
        <v>21000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38">
        <v>10009</v>
      </c>
      <c r="H15" s="9">
        <f t="shared" si="2"/>
        <v>5</v>
      </c>
      <c r="I15" s="15" t="s">
        <v>41</v>
      </c>
      <c r="J15" s="15" t="str">
        <f t="shared" si="3"/>
        <v>WO</v>
      </c>
      <c r="K15" s="15" t="s">
        <v>41</v>
      </c>
      <c r="L15" s="15" t="s">
        <v>41</v>
      </c>
      <c r="M15" s="15" t="s">
        <v>41</v>
      </c>
      <c r="N15" s="15" t="s">
        <v>41</v>
      </c>
      <c r="O15" s="15" t="s">
        <v>41</v>
      </c>
      <c r="P15" s="15" t="s">
        <v>41</v>
      </c>
      <c r="Q15" s="15" t="str">
        <f t="shared" si="3"/>
        <v>WO</v>
      </c>
      <c r="R15" s="45" t="s">
        <v>41</v>
      </c>
      <c r="S15" s="45" t="s">
        <v>41</v>
      </c>
      <c r="T15" s="45" t="s">
        <v>41</v>
      </c>
      <c r="U15" s="45" t="s">
        <v>43</v>
      </c>
      <c r="V15" s="45" t="s">
        <v>41</v>
      </c>
      <c r="W15" s="45" t="s">
        <v>41</v>
      </c>
      <c r="X15" s="15" t="str">
        <f t="shared" si="3"/>
        <v>WO</v>
      </c>
      <c r="Y15" s="45" t="s">
        <v>41</v>
      </c>
      <c r="Z15" s="45" t="s">
        <v>41</v>
      </c>
      <c r="AA15" s="45" t="s">
        <v>41</v>
      </c>
      <c r="AB15" s="45" t="s">
        <v>41</v>
      </c>
      <c r="AC15" s="45" t="s">
        <v>41</v>
      </c>
      <c r="AD15" s="45" t="s">
        <v>41</v>
      </c>
      <c r="AE15" s="15" t="str">
        <f t="shared" si="4"/>
        <v>WO</v>
      </c>
      <c r="AF15" s="15" t="s">
        <v>41</v>
      </c>
      <c r="AG15" s="15" t="s">
        <v>41</v>
      </c>
      <c r="AH15" s="15" t="s">
        <v>41</v>
      </c>
      <c r="AI15" s="15" t="s">
        <v>41</v>
      </c>
      <c r="AJ15" s="15" t="s">
        <v>41</v>
      </c>
      <c r="AK15" s="15" t="s">
        <v>41</v>
      </c>
      <c r="AL15" s="15" t="str">
        <f t="shared" si="4"/>
        <v>WO</v>
      </c>
      <c r="AM15" s="16"/>
      <c r="AN15" s="41"/>
      <c r="AO15" s="41"/>
      <c r="AP15" s="30"/>
      <c r="AQ15" s="9">
        <v>9</v>
      </c>
      <c r="AR15" s="9" t="s">
        <v>11</v>
      </c>
      <c r="AS15" s="9" t="str">
        <f t="shared" si="5"/>
        <v>November</v>
      </c>
      <c r="AT15" s="10">
        <v>10009</v>
      </c>
      <c r="AU15" s="15">
        <f t="shared" si="6"/>
        <v>24</v>
      </c>
      <c r="AV15" s="15">
        <f t="shared" si="7"/>
        <v>0</v>
      </c>
      <c r="AW15" s="15">
        <f t="shared" si="8"/>
        <v>1</v>
      </c>
      <c r="AX15" s="15">
        <f t="shared" si="9"/>
        <v>5</v>
      </c>
      <c r="AY15" s="25">
        <f t="shared" si="10"/>
        <v>30</v>
      </c>
      <c r="AZ15" s="25">
        <f>JanReport23[[#This Row],[Days]]-JanReport23[[#This Row],[Abesent]]</f>
        <v>30</v>
      </c>
      <c r="BA15" s="26">
        <v>22000</v>
      </c>
      <c r="BB15" s="27">
        <f>JanReport23[[#This Row],[Salary]]/JanReport23[[#This Row],[Days]]</f>
        <v>733.33333333333337</v>
      </c>
      <c r="BC15" s="27">
        <f>JanReport23[[#This Row],[PerDaySalary]]*JanReport23[[#This Row],[Abesent]]</f>
        <v>0</v>
      </c>
      <c r="BD15" s="27">
        <f>JanReport23[[#This Row],[Salary]]-JanReport23[[#This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38">
        <v>10010</v>
      </c>
      <c r="H16" s="9">
        <f t="shared" si="2"/>
        <v>5</v>
      </c>
      <c r="I16" s="15" t="s">
        <v>41</v>
      </c>
      <c r="J16" s="15" t="str">
        <f t="shared" si="3"/>
        <v>WO</v>
      </c>
      <c r="K16" s="15" t="s">
        <v>41</v>
      </c>
      <c r="L16" s="15" t="s">
        <v>41</v>
      </c>
      <c r="M16" s="15" t="s">
        <v>41</v>
      </c>
      <c r="N16" s="15" t="s">
        <v>41</v>
      </c>
      <c r="O16" s="15" t="s">
        <v>41</v>
      </c>
      <c r="P16" s="15" t="s">
        <v>41</v>
      </c>
      <c r="Q16" s="15" t="str">
        <f t="shared" si="3"/>
        <v>WO</v>
      </c>
      <c r="R16" s="45" t="s">
        <v>41</v>
      </c>
      <c r="S16" s="45" t="s">
        <v>41</v>
      </c>
      <c r="T16" s="45" t="s">
        <v>41</v>
      </c>
      <c r="U16" s="45" t="s">
        <v>41</v>
      </c>
      <c r="V16" s="45" t="s">
        <v>41</v>
      </c>
      <c r="W16" s="45" t="s">
        <v>41</v>
      </c>
      <c r="X16" s="15" t="str">
        <f t="shared" si="3"/>
        <v>WO</v>
      </c>
      <c r="Y16" s="45" t="s">
        <v>41</v>
      </c>
      <c r="Z16" s="45" t="s">
        <v>41</v>
      </c>
      <c r="AA16" s="45" t="s">
        <v>41</v>
      </c>
      <c r="AB16" s="45" t="s">
        <v>41</v>
      </c>
      <c r="AC16" s="45" t="s">
        <v>43</v>
      </c>
      <c r="AD16" s="45" t="s">
        <v>41</v>
      </c>
      <c r="AE16" s="15" t="str">
        <f t="shared" si="4"/>
        <v>WO</v>
      </c>
      <c r="AF16" s="15" t="s">
        <v>41</v>
      </c>
      <c r="AG16" s="15" t="s">
        <v>41</v>
      </c>
      <c r="AH16" s="15" t="s">
        <v>41</v>
      </c>
      <c r="AI16" s="15" t="s">
        <v>41</v>
      </c>
      <c r="AJ16" s="15" t="s">
        <v>41</v>
      </c>
      <c r="AK16" s="15" t="s">
        <v>41</v>
      </c>
      <c r="AL16" s="15" t="str">
        <f t="shared" si="4"/>
        <v>WO</v>
      </c>
      <c r="AM16" s="16"/>
      <c r="AN16" s="41"/>
      <c r="AO16" s="41"/>
      <c r="AP16" s="30"/>
      <c r="AQ16" s="9">
        <v>10</v>
      </c>
      <c r="AR16" s="9" t="s">
        <v>12</v>
      </c>
      <c r="AS16" s="9" t="str">
        <f t="shared" si="5"/>
        <v>November</v>
      </c>
      <c r="AT16" s="10">
        <v>10010</v>
      </c>
      <c r="AU16" s="15">
        <f t="shared" si="6"/>
        <v>24</v>
      </c>
      <c r="AV16" s="15">
        <f t="shared" si="7"/>
        <v>0</v>
      </c>
      <c r="AW16" s="15">
        <f t="shared" si="8"/>
        <v>1</v>
      </c>
      <c r="AX16" s="15">
        <f t="shared" si="9"/>
        <v>5</v>
      </c>
      <c r="AY16" s="25">
        <f t="shared" si="10"/>
        <v>30</v>
      </c>
      <c r="AZ16" s="25">
        <f>JanReport23[[#This Row],[Days]]-JanReport23[[#This Row],[Abesent]]</f>
        <v>30</v>
      </c>
      <c r="BA16" s="26">
        <v>25000</v>
      </c>
      <c r="BB16" s="27">
        <f>JanReport23[[#This Row],[Salary]]/JanReport23[[#This Row],[Days]]</f>
        <v>833.33333333333337</v>
      </c>
      <c r="BC16" s="27">
        <f>JanReport23[[#This Row],[PerDaySalary]]*JanReport23[[#This Row],[Abesent]]</f>
        <v>0</v>
      </c>
      <c r="BD16" s="27">
        <f>JanReport23[[#This Row],[Salary]]-JanReport23[[#This Row],[Deduction]]</f>
        <v>25000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38">
        <v>10011</v>
      </c>
      <c r="H17" s="9">
        <f t="shared" si="2"/>
        <v>5</v>
      </c>
      <c r="I17" s="15" t="s">
        <v>41</v>
      </c>
      <c r="J17" s="15" t="str">
        <f t="shared" si="3"/>
        <v>WO</v>
      </c>
      <c r="K17" s="15" t="s">
        <v>41</v>
      </c>
      <c r="L17" s="15" t="s">
        <v>41</v>
      </c>
      <c r="M17" s="15" t="s">
        <v>41</v>
      </c>
      <c r="N17" s="15" t="s">
        <v>41</v>
      </c>
      <c r="O17" s="15" t="s">
        <v>41</v>
      </c>
      <c r="P17" s="15" t="s">
        <v>42</v>
      </c>
      <c r="Q17" s="15" t="str">
        <f t="shared" si="3"/>
        <v>WO</v>
      </c>
      <c r="R17" s="45" t="s">
        <v>41</v>
      </c>
      <c r="S17" s="45" t="s">
        <v>41</v>
      </c>
      <c r="T17" s="45" t="s">
        <v>41</v>
      </c>
      <c r="U17" s="45" t="s">
        <v>41</v>
      </c>
      <c r="V17" s="45" t="s">
        <v>41</v>
      </c>
      <c r="W17" s="45" t="s">
        <v>41</v>
      </c>
      <c r="X17" s="15" t="str">
        <f t="shared" si="3"/>
        <v>WO</v>
      </c>
      <c r="Y17" s="45" t="s">
        <v>41</v>
      </c>
      <c r="Z17" s="45" t="s">
        <v>41</v>
      </c>
      <c r="AA17" s="45" t="s">
        <v>41</v>
      </c>
      <c r="AB17" s="45" t="s">
        <v>41</v>
      </c>
      <c r="AC17" s="45" t="s">
        <v>41</v>
      </c>
      <c r="AD17" s="45" t="s">
        <v>41</v>
      </c>
      <c r="AE17" s="15" t="str">
        <f t="shared" si="4"/>
        <v>WO</v>
      </c>
      <c r="AF17" s="15" t="s">
        <v>41</v>
      </c>
      <c r="AG17" s="15" t="s">
        <v>41</v>
      </c>
      <c r="AH17" s="15" t="s">
        <v>41</v>
      </c>
      <c r="AI17" s="15" t="s">
        <v>41</v>
      </c>
      <c r="AJ17" s="45" t="s">
        <v>43</v>
      </c>
      <c r="AK17" s="15" t="s">
        <v>41</v>
      </c>
      <c r="AL17" s="15" t="str">
        <f t="shared" si="4"/>
        <v>WO</v>
      </c>
      <c r="AM17" s="16"/>
      <c r="AN17" s="41"/>
      <c r="AO17" s="41"/>
      <c r="AP17" s="30"/>
      <c r="AQ17" s="9">
        <v>11</v>
      </c>
      <c r="AR17" s="9" t="s">
        <v>13</v>
      </c>
      <c r="AS17" s="9" t="str">
        <f t="shared" si="5"/>
        <v>November</v>
      </c>
      <c r="AT17" s="10">
        <v>10011</v>
      </c>
      <c r="AU17" s="15">
        <f t="shared" si="6"/>
        <v>23</v>
      </c>
      <c r="AV17" s="15">
        <f t="shared" si="7"/>
        <v>1</v>
      </c>
      <c r="AW17" s="15">
        <f t="shared" si="8"/>
        <v>1</v>
      </c>
      <c r="AX17" s="15">
        <f t="shared" si="9"/>
        <v>5</v>
      </c>
      <c r="AY17" s="25">
        <f t="shared" si="10"/>
        <v>30</v>
      </c>
      <c r="AZ17" s="25">
        <f>JanReport23[[#This Row],[Days]]-JanReport23[[#This Row],[Abesent]]</f>
        <v>29</v>
      </c>
      <c r="BA17" s="26">
        <v>15000</v>
      </c>
      <c r="BB17" s="27">
        <f>JanReport23[[#This Row],[Salary]]/JanReport23[[#This Row],[Days]]</f>
        <v>500</v>
      </c>
      <c r="BC17" s="27">
        <f>JanReport23[[#This Row],[PerDaySalary]]*JanReport23[[#This Row],[Abesent]]</f>
        <v>500</v>
      </c>
      <c r="BD17" s="27">
        <f>JanReport23[[#This Row],[Salary]]-JanReport23[[#This Row],[Deduction]]</f>
        <v>14500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38">
        <v>10012</v>
      </c>
      <c r="H18" s="9">
        <f t="shared" si="2"/>
        <v>5</v>
      </c>
      <c r="I18" s="15" t="s">
        <v>42</v>
      </c>
      <c r="J18" s="15" t="str">
        <f t="shared" si="3"/>
        <v>WO</v>
      </c>
      <c r="K18" s="15" t="s">
        <v>41</v>
      </c>
      <c r="L18" s="15" t="s">
        <v>41</v>
      </c>
      <c r="M18" s="15" t="s">
        <v>41</v>
      </c>
      <c r="N18" s="15" t="s">
        <v>41</v>
      </c>
      <c r="O18" s="15" t="s">
        <v>41</v>
      </c>
      <c r="P18" s="15" t="s">
        <v>41</v>
      </c>
      <c r="Q18" s="15" t="str">
        <f t="shared" si="3"/>
        <v>WO</v>
      </c>
      <c r="R18" s="45" t="s">
        <v>41</v>
      </c>
      <c r="S18" s="45" t="s">
        <v>41</v>
      </c>
      <c r="T18" s="45" t="s">
        <v>43</v>
      </c>
      <c r="U18" s="45" t="s">
        <v>41</v>
      </c>
      <c r="V18" s="45" t="s">
        <v>41</v>
      </c>
      <c r="W18" s="45" t="s">
        <v>41</v>
      </c>
      <c r="X18" s="15" t="str">
        <f t="shared" si="3"/>
        <v>WO</v>
      </c>
      <c r="Y18" s="45" t="s">
        <v>41</v>
      </c>
      <c r="Z18" s="45" t="s">
        <v>41</v>
      </c>
      <c r="AA18" s="15" t="s">
        <v>42</v>
      </c>
      <c r="AB18" s="45" t="s">
        <v>41</v>
      </c>
      <c r="AC18" s="45" t="s">
        <v>41</v>
      </c>
      <c r="AD18" s="45" t="s">
        <v>41</v>
      </c>
      <c r="AE18" s="15" t="str">
        <f t="shared" si="4"/>
        <v>WO</v>
      </c>
      <c r="AF18" s="15" t="s">
        <v>41</v>
      </c>
      <c r="AG18" s="15" t="s">
        <v>41</v>
      </c>
      <c r="AH18" s="15" t="s">
        <v>41</v>
      </c>
      <c r="AI18" s="15" t="s">
        <v>41</v>
      </c>
      <c r="AJ18" s="15" t="s">
        <v>41</v>
      </c>
      <c r="AK18" s="15" t="s">
        <v>41</v>
      </c>
      <c r="AL18" s="15" t="str">
        <f t="shared" si="4"/>
        <v>WO</v>
      </c>
      <c r="AM18" s="16"/>
      <c r="AN18" s="41"/>
      <c r="AO18" s="41"/>
      <c r="AP18" s="30"/>
      <c r="AQ18" s="9">
        <v>12</v>
      </c>
      <c r="AR18" s="9" t="s">
        <v>14</v>
      </c>
      <c r="AS18" s="9" t="str">
        <f t="shared" si="5"/>
        <v>November</v>
      </c>
      <c r="AT18" s="10">
        <v>10012</v>
      </c>
      <c r="AU18" s="15">
        <f t="shared" si="6"/>
        <v>22</v>
      </c>
      <c r="AV18" s="15">
        <f t="shared" si="7"/>
        <v>2</v>
      </c>
      <c r="AW18" s="15">
        <f t="shared" si="8"/>
        <v>1</v>
      </c>
      <c r="AX18" s="15">
        <f t="shared" si="9"/>
        <v>5</v>
      </c>
      <c r="AY18" s="25">
        <f t="shared" si="10"/>
        <v>30</v>
      </c>
      <c r="AZ18" s="25">
        <f>JanReport23[[#This Row],[Days]]-JanReport23[[#This Row],[Abesent]]</f>
        <v>28</v>
      </c>
      <c r="BA18" s="26">
        <v>19000</v>
      </c>
      <c r="BB18" s="27">
        <f>JanReport23[[#This Row],[Salary]]/JanReport23[[#This Row],[Days]]</f>
        <v>633.33333333333337</v>
      </c>
      <c r="BC18" s="27">
        <f>JanReport23[[#This Row],[PerDaySalary]]*JanReport23[[#This Row],[Abesent]]</f>
        <v>1266.6666666666667</v>
      </c>
      <c r="BD18" s="27">
        <f>JanReport23[[#This Row],[Salary]]-JanReport23[[#This Row],[Deduction]]</f>
        <v>17733.333333333332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38">
        <v>10013</v>
      </c>
      <c r="H19" s="9">
        <f t="shared" si="2"/>
        <v>5</v>
      </c>
      <c r="I19" s="15" t="s">
        <v>41</v>
      </c>
      <c r="J19" s="15" t="str">
        <f t="shared" si="3"/>
        <v>WO</v>
      </c>
      <c r="K19" s="15" t="s">
        <v>41</v>
      </c>
      <c r="L19" s="15" t="s">
        <v>41</v>
      </c>
      <c r="M19" s="15" t="s">
        <v>41</v>
      </c>
      <c r="N19" s="15" t="s">
        <v>41</v>
      </c>
      <c r="O19" s="15" t="s">
        <v>41</v>
      </c>
      <c r="P19" s="15" t="s">
        <v>41</v>
      </c>
      <c r="Q19" s="15" t="str">
        <f t="shared" si="3"/>
        <v>WO</v>
      </c>
      <c r="R19" s="45" t="s">
        <v>41</v>
      </c>
      <c r="S19" s="45" t="s">
        <v>41</v>
      </c>
      <c r="T19" s="45" t="s">
        <v>41</v>
      </c>
      <c r="U19" s="45" t="s">
        <v>41</v>
      </c>
      <c r="V19" s="45" t="s">
        <v>41</v>
      </c>
      <c r="W19" s="45" t="s">
        <v>41</v>
      </c>
      <c r="X19" s="15" t="str">
        <f t="shared" si="3"/>
        <v>WO</v>
      </c>
      <c r="Y19" s="45" t="s">
        <v>41</v>
      </c>
      <c r="Z19" s="45" t="s">
        <v>41</v>
      </c>
      <c r="AA19" s="45" t="s">
        <v>41</v>
      </c>
      <c r="AB19" s="45" t="s">
        <v>41</v>
      </c>
      <c r="AC19" s="45" t="s">
        <v>41</v>
      </c>
      <c r="AD19" s="45" t="s">
        <v>41</v>
      </c>
      <c r="AE19" s="15" t="str">
        <f t="shared" si="4"/>
        <v>WO</v>
      </c>
      <c r="AF19" s="15" t="s">
        <v>41</v>
      </c>
      <c r="AG19" s="15" t="s">
        <v>41</v>
      </c>
      <c r="AH19" s="15" t="s">
        <v>41</v>
      </c>
      <c r="AI19" s="15" t="s">
        <v>41</v>
      </c>
      <c r="AJ19" s="15" t="s">
        <v>41</v>
      </c>
      <c r="AK19" s="15" t="s">
        <v>41</v>
      </c>
      <c r="AL19" s="15" t="str">
        <f t="shared" si="4"/>
        <v>WO</v>
      </c>
      <c r="AM19" s="16"/>
      <c r="AN19" s="41"/>
      <c r="AO19" s="41"/>
      <c r="AP19" s="30"/>
      <c r="AQ19" s="9">
        <v>13</v>
      </c>
      <c r="AR19" s="9" t="s">
        <v>15</v>
      </c>
      <c r="AS19" s="9" t="str">
        <f t="shared" si="5"/>
        <v>November</v>
      </c>
      <c r="AT19" s="10">
        <v>10013</v>
      </c>
      <c r="AU19" s="15">
        <f t="shared" si="6"/>
        <v>25</v>
      </c>
      <c r="AV19" s="15">
        <f t="shared" si="7"/>
        <v>0</v>
      </c>
      <c r="AW19" s="15">
        <f t="shared" si="8"/>
        <v>0</v>
      </c>
      <c r="AX19" s="15">
        <f t="shared" si="9"/>
        <v>5</v>
      </c>
      <c r="AY19" s="25">
        <f t="shared" si="10"/>
        <v>30</v>
      </c>
      <c r="AZ19" s="25">
        <f>JanReport23[[#This Row],[Days]]-JanReport23[[#This Row],[Abesent]]</f>
        <v>30</v>
      </c>
      <c r="BA19" s="26">
        <v>20000</v>
      </c>
      <c r="BB19" s="27">
        <f>JanReport23[[#This Row],[Salary]]/JanReport23[[#This Row],[Days]]</f>
        <v>666.66666666666663</v>
      </c>
      <c r="BC19" s="27">
        <f>JanReport23[[#This Row],[PerDaySalary]]*JanReport23[[#This Row],[Abesent]]</f>
        <v>0</v>
      </c>
      <c r="BD19" s="27">
        <f>JanReport23[[#This Row],[Salary]]-JanReport23[[#This Row],[Deduction]]</f>
        <v>20000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38">
        <v>10014</v>
      </c>
      <c r="H20" s="9">
        <f t="shared" si="2"/>
        <v>5</v>
      </c>
      <c r="I20" s="15" t="s">
        <v>41</v>
      </c>
      <c r="J20" s="15" t="str">
        <f t="shared" si="3"/>
        <v>WO</v>
      </c>
      <c r="K20" s="15" t="s">
        <v>41</v>
      </c>
      <c r="L20" s="15" t="s">
        <v>41</v>
      </c>
      <c r="M20" s="15" t="s">
        <v>41</v>
      </c>
      <c r="N20" s="15" t="s">
        <v>41</v>
      </c>
      <c r="O20" s="15" t="s">
        <v>41</v>
      </c>
      <c r="P20" s="15" t="s">
        <v>41</v>
      </c>
      <c r="Q20" s="15" t="str">
        <f t="shared" si="3"/>
        <v>WO</v>
      </c>
      <c r="R20" s="45" t="s">
        <v>41</v>
      </c>
      <c r="S20" s="45" t="s">
        <v>41</v>
      </c>
      <c r="T20" s="45" t="s">
        <v>41</v>
      </c>
      <c r="U20" s="45" t="s">
        <v>41</v>
      </c>
      <c r="V20" s="15" t="s">
        <v>42</v>
      </c>
      <c r="W20" s="45" t="s">
        <v>41</v>
      </c>
      <c r="X20" s="15" t="str">
        <f t="shared" si="3"/>
        <v>WO</v>
      </c>
      <c r="Y20" s="45" t="s">
        <v>41</v>
      </c>
      <c r="Z20" s="45" t="s">
        <v>41</v>
      </c>
      <c r="AA20" s="45" t="s">
        <v>41</v>
      </c>
      <c r="AB20" s="45" t="s">
        <v>41</v>
      </c>
      <c r="AC20" s="45" t="s">
        <v>41</v>
      </c>
      <c r="AD20" s="45" t="s">
        <v>41</v>
      </c>
      <c r="AE20" s="15" t="str">
        <f t="shared" si="4"/>
        <v>WO</v>
      </c>
      <c r="AF20" s="15" t="s">
        <v>41</v>
      </c>
      <c r="AG20" s="15" t="s">
        <v>41</v>
      </c>
      <c r="AH20" s="15" t="s">
        <v>41</v>
      </c>
      <c r="AI20" s="15" t="s">
        <v>42</v>
      </c>
      <c r="AJ20" s="15" t="s">
        <v>41</v>
      </c>
      <c r="AK20" s="15" t="s">
        <v>41</v>
      </c>
      <c r="AL20" s="15" t="str">
        <f t="shared" si="4"/>
        <v>WO</v>
      </c>
      <c r="AM20" s="16"/>
      <c r="AN20" s="41"/>
      <c r="AO20" s="41"/>
      <c r="AP20" s="30"/>
      <c r="AQ20" s="9">
        <v>14</v>
      </c>
      <c r="AR20" s="9" t="s">
        <v>16</v>
      </c>
      <c r="AS20" s="9" t="str">
        <f t="shared" si="5"/>
        <v>November</v>
      </c>
      <c r="AT20" s="10">
        <v>10014</v>
      </c>
      <c r="AU20" s="15">
        <f t="shared" si="6"/>
        <v>23</v>
      </c>
      <c r="AV20" s="15">
        <f t="shared" si="7"/>
        <v>2</v>
      </c>
      <c r="AW20" s="15">
        <f t="shared" si="8"/>
        <v>0</v>
      </c>
      <c r="AX20" s="15">
        <f t="shared" si="9"/>
        <v>5</v>
      </c>
      <c r="AY20" s="25">
        <f t="shared" si="10"/>
        <v>30</v>
      </c>
      <c r="AZ20" s="25">
        <f>JanReport23[[#This Row],[Days]]-JanReport23[[#This Row],[Abesent]]</f>
        <v>28</v>
      </c>
      <c r="BA20" s="26">
        <v>19000</v>
      </c>
      <c r="BB20" s="27">
        <f>JanReport23[[#This Row],[Salary]]/JanReport23[[#This Row],[Days]]</f>
        <v>633.33333333333337</v>
      </c>
      <c r="BC20" s="27">
        <f>JanReport23[[#This Row],[PerDaySalary]]*JanReport23[[#This Row],[Abesent]]</f>
        <v>1266.6666666666667</v>
      </c>
      <c r="BD20" s="27">
        <f>JanReport23[[#This Row],[Salary]]-JanReport23[[#This Row],[Deduction]]</f>
        <v>17733.333333333332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38">
        <v>10015</v>
      </c>
      <c r="H21" s="9">
        <f t="shared" si="2"/>
        <v>5</v>
      </c>
      <c r="I21" s="15" t="s">
        <v>41</v>
      </c>
      <c r="J21" s="15" t="str">
        <f t="shared" si="3"/>
        <v>WO</v>
      </c>
      <c r="K21" s="15" t="s">
        <v>41</v>
      </c>
      <c r="L21" s="15" t="s">
        <v>41</v>
      </c>
      <c r="M21" s="15" t="s">
        <v>41</v>
      </c>
      <c r="N21" s="15" t="s">
        <v>41</v>
      </c>
      <c r="O21" s="15" t="s">
        <v>41</v>
      </c>
      <c r="P21" s="15" t="s">
        <v>41</v>
      </c>
      <c r="Q21" s="15" t="str">
        <f t="shared" si="3"/>
        <v>WO</v>
      </c>
      <c r="R21" s="45" t="s">
        <v>41</v>
      </c>
      <c r="S21" s="45" t="s">
        <v>41</v>
      </c>
      <c r="T21" s="45" t="s">
        <v>41</v>
      </c>
      <c r="U21" s="45" t="s">
        <v>41</v>
      </c>
      <c r="V21" s="45" t="s">
        <v>41</v>
      </c>
      <c r="W21" s="45" t="s">
        <v>41</v>
      </c>
      <c r="X21" s="15" t="str">
        <f t="shared" si="3"/>
        <v>WO</v>
      </c>
      <c r="Y21" s="45" t="s">
        <v>41</v>
      </c>
      <c r="Z21" s="45" t="s">
        <v>41</v>
      </c>
      <c r="AA21" s="45" t="s">
        <v>41</v>
      </c>
      <c r="AB21" s="45" t="s">
        <v>41</v>
      </c>
      <c r="AC21" s="45" t="s">
        <v>41</v>
      </c>
      <c r="AD21" s="45" t="s">
        <v>41</v>
      </c>
      <c r="AE21" s="15" t="str">
        <f t="shared" si="4"/>
        <v>WO</v>
      </c>
      <c r="AF21" s="15" t="s">
        <v>41</v>
      </c>
      <c r="AG21" s="15" t="s">
        <v>41</v>
      </c>
      <c r="AH21" s="15" t="s">
        <v>41</v>
      </c>
      <c r="AI21" s="15" t="s">
        <v>41</v>
      </c>
      <c r="AJ21" s="15" t="s">
        <v>41</v>
      </c>
      <c r="AK21" s="15" t="s">
        <v>41</v>
      </c>
      <c r="AL21" s="15" t="str">
        <f t="shared" si="4"/>
        <v>WO</v>
      </c>
      <c r="AM21" s="16"/>
      <c r="AN21" s="41"/>
      <c r="AO21" s="41"/>
      <c r="AP21" s="30"/>
      <c r="AQ21" s="9">
        <v>15</v>
      </c>
      <c r="AR21" s="9" t="s">
        <v>17</v>
      </c>
      <c r="AS21" s="9" t="str">
        <f t="shared" si="5"/>
        <v>November</v>
      </c>
      <c r="AT21" s="10">
        <v>10015</v>
      </c>
      <c r="AU21" s="15">
        <f t="shared" si="6"/>
        <v>25</v>
      </c>
      <c r="AV21" s="15">
        <f t="shared" si="7"/>
        <v>0</v>
      </c>
      <c r="AW21" s="15">
        <f t="shared" si="8"/>
        <v>0</v>
      </c>
      <c r="AX21" s="15">
        <f t="shared" si="9"/>
        <v>5</v>
      </c>
      <c r="AY21" s="25">
        <f t="shared" si="10"/>
        <v>30</v>
      </c>
      <c r="AZ21" s="25">
        <f>JanReport23[[#This Row],[Days]]-JanReport23[[#This Row],[Abesent]]</f>
        <v>30</v>
      </c>
      <c r="BA21" s="26">
        <v>25000</v>
      </c>
      <c r="BB21" s="27">
        <f>JanReport23[[#This Row],[Salary]]/JanReport23[[#This Row],[Days]]</f>
        <v>833.33333333333337</v>
      </c>
      <c r="BC21" s="27">
        <f>JanReport23[[#This Row],[PerDaySalary]]*JanReport23[[#This Row],[Abesent]]</f>
        <v>0</v>
      </c>
      <c r="BD21" s="27">
        <f>JanReport23[[#This Row],[Salary]]-JanReport23[[#This Row],[Deduction]]</f>
        <v>25000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38">
        <v>10016</v>
      </c>
      <c r="H22" s="9">
        <f t="shared" si="2"/>
        <v>5</v>
      </c>
      <c r="I22" s="15" t="s">
        <v>41</v>
      </c>
      <c r="J22" s="15" t="str">
        <f t="shared" si="3"/>
        <v>WO</v>
      </c>
      <c r="K22" s="15" t="s">
        <v>41</v>
      </c>
      <c r="L22" s="15" t="s">
        <v>41</v>
      </c>
      <c r="M22" s="15" t="s">
        <v>41</v>
      </c>
      <c r="N22" s="15" t="s">
        <v>42</v>
      </c>
      <c r="O22" s="15" t="s">
        <v>41</v>
      </c>
      <c r="P22" s="15" t="s">
        <v>41</v>
      </c>
      <c r="Q22" s="15" t="str">
        <f t="shared" si="3"/>
        <v>WO</v>
      </c>
      <c r="R22" s="45" t="s">
        <v>41</v>
      </c>
      <c r="S22" s="45" t="s">
        <v>41</v>
      </c>
      <c r="T22" s="45" t="s">
        <v>41</v>
      </c>
      <c r="U22" s="45" t="s">
        <v>41</v>
      </c>
      <c r="V22" s="45" t="s">
        <v>41</v>
      </c>
      <c r="W22" s="45" t="s">
        <v>41</v>
      </c>
      <c r="X22" s="15" t="str">
        <f t="shared" ref="X22" si="11">IF(X$5="Sun","WO","")</f>
        <v>WO</v>
      </c>
      <c r="Y22" s="45" t="s">
        <v>41</v>
      </c>
      <c r="Z22" s="45" t="s">
        <v>41</v>
      </c>
      <c r="AA22" s="45" t="s">
        <v>41</v>
      </c>
      <c r="AB22" s="45" t="s">
        <v>41</v>
      </c>
      <c r="AC22" s="45" t="s">
        <v>41</v>
      </c>
      <c r="AD22" s="45" t="s">
        <v>41</v>
      </c>
      <c r="AE22" s="15" t="str">
        <f t="shared" si="4"/>
        <v>WO</v>
      </c>
      <c r="AF22" s="15" t="s">
        <v>41</v>
      </c>
      <c r="AG22" s="15" t="s">
        <v>41</v>
      </c>
      <c r="AH22" s="15" t="s">
        <v>41</v>
      </c>
      <c r="AI22" s="15" t="s">
        <v>41</v>
      </c>
      <c r="AJ22" s="15" t="s">
        <v>41</v>
      </c>
      <c r="AK22" s="15" t="s">
        <v>41</v>
      </c>
      <c r="AL22" s="15" t="str">
        <f t="shared" si="4"/>
        <v>WO</v>
      </c>
      <c r="AM22" s="16"/>
      <c r="AN22" s="41"/>
      <c r="AO22" s="41"/>
      <c r="AP22" s="30"/>
      <c r="AQ22" s="9">
        <v>16</v>
      </c>
      <c r="AR22" s="9" t="s">
        <v>18</v>
      </c>
      <c r="AS22" s="9" t="str">
        <f t="shared" si="5"/>
        <v>November</v>
      </c>
      <c r="AT22" s="10">
        <v>10016</v>
      </c>
      <c r="AU22" s="15">
        <f t="shared" si="6"/>
        <v>24</v>
      </c>
      <c r="AV22" s="15">
        <f t="shared" si="7"/>
        <v>1</v>
      </c>
      <c r="AW22" s="15">
        <f t="shared" si="8"/>
        <v>0</v>
      </c>
      <c r="AX22" s="15">
        <f t="shared" si="9"/>
        <v>5</v>
      </c>
      <c r="AY22" s="25">
        <f t="shared" si="10"/>
        <v>30</v>
      </c>
      <c r="AZ22" s="25">
        <f>JanReport23[[#This Row],[Days]]-JanReport23[[#This Row],[Abesent]]</f>
        <v>29</v>
      </c>
      <c r="BA22" s="26">
        <v>32000</v>
      </c>
      <c r="BB22" s="27">
        <f>JanReport23[[#This Row],[Salary]]/JanReport23[[#This Row],[Days]]</f>
        <v>1066.6666666666667</v>
      </c>
      <c r="BC22" s="27">
        <f>JanReport23[[#This Row],[PerDaySalary]]*JanReport23[[#This Row],[Abesent]]</f>
        <v>1066.6666666666667</v>
      </c>
      <c r="BD22" s="27">
        <f>JanReport23[[#This Row],[Salary]]-JanReport23[[#This Row],[Deduction]]</f>
        <v>30933.333333333332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38">
        <v>10017</v>
      </c>
      <c r="H23" s="9">
        <f t="shared" si="2"/>
        <v>5</v>
      </c>
      <c r="I23" s="15" t="s">
        <v>41</v>
      </c>
      <c r="J23" s="15" t="str">
        <f t="shared" ref="J23:X26" si="12">IF(J$5="Sun","WO","")</f>
        <v>WO</v>
      </c>
      <c r="K23" s="15" t="s">
        <v>41</v>
      </c>
      <c r="L23" s="15" t="s">
        <v>41</v>
      </c>
      <c r="M23" s="15" t="s">
        <v>41</v>
      </c>
      <c r="N23" s="15" t="s">
        <v>41</v>
      </c>
      <c r="O23" s="15" t="s">
        <v>41</v>
      </c>
      <c r="P23" s="15" t="s">
        <v>41</v>
      </c>
      <c r="Q23" s="15" t="str">
        <f t="shared" si="12"/>
        <v>WO</v>
      </c>
      <c r="R23" s="45" t="s">
        <v>41</v>
      </c>
      <c r="S23" s="45" t="s">
        <v>41</v>
      </c>
      <c r="T23" s="45" t="s">
        <v>41</v>
      </c>
      <c r="U23" s="45" t="s">
        <v>41</v>
      </c>
      <c r="V23" s="45" t="s">
        <v>41</v>
      </c>
      <c r="W23" s="45" t="s">
        <v>41</v>
      </c>
      <c r="X23" s="15" t="str">
        <f t="shared" si="12"/>
        <v>WO</v>
      </c>
      <c r="Y23" s="45" t="s">
        <v>41</v>
      </c>
      <c r="Z23" s="45" t="s">
        <v>41</v>
      </c>
      <c r="AA23" s="45" t="s">
        <v>41</v>
      </c>
      <c r="AB23" s="45" t="s">
        <v>41</v>
      </c>
      <c r="AC23" s="45" t="s">
        <v>41</v>
      </c>
      <c r="AD23" s="45" t="s">
        <v>41</v>
      </c>
      <c r="AE23" s="15" t="str">
        <f t="shared" ref="AE23:AL26" si="13">IF(AE$5="Sun","WO","")</f>
        <v>WO</v>
      </c>
      <c r="AF23" s="15" t="s">
        <v>41</v>
      </c>
      <c r="AG23" s="15" t="s">
        <v>41</v>
      </c>
      <c r="AH23" s="15" t="s">
        <v>41</v>
      </c>
      <c r="AI23" s="15" t="s">
        <v>41</v>
      </c>
      <c r="AJ23" s="15" t="s">
        <v>41</v>
      </c>
      <c r="AK23" s="15" t="s">
        <v>41</v>
      </c>
      <c r="AL23" s="15" t="str">
        <f t="shared" si="13"/>
        <v>WO</v>
      </c>
      <c r="AM23" s="16"/>
      <c r="AN23" s="41"/>
      <c r="AO23" s="41"/>
      <c r="AP23" s="30"/>
      <c r="AQ23" s="9">
        <v>17</v>
      </c>
      <c r="AR23" s="9" t="s">
        <v>19</v>
      </c>
      <c r="AS23" s="9" t="str">
        <f t="shared" si="5"/>
        <v>November</v>
      </c>
      <c r="AT23" s="10">
        <v>10017</v>
      </c>
      <c r="AU23" s="15">
        <f t="shared" si="6"/>
        <v>25</v>
      </c>
      <c r="AV23" s="15">
        <f t="shared" si="7"/>
        <v>0</v>
      </c>
      <c r="AW23" s="15">
        <f t="shared" si="8"/>
        <v>0</v>
      </c>
      <c r="AX23" s="15">
        <f t="shared" si="9"/>
        <v>5</v>
      </c>
      <c r="AY23" s="25">
        <f t="shared" si="10"/>
        <v>30</v>
      </c>
      <c r="AZ23" s="25">
        <f>JanReport23[[#This Row],[Days]]-JanReport23[[#This Row],[Abesent]]</f>
        <v>30</v>
      </c>
      <c r="BA23" s="26">
        <v>35000</v>
      </c>
      <c r="BB23" s="27">
        <f>JanReport23[[#This Row],[Salary]]/JanReport23[[#This Row],[Days]]</f>
        <v>1166.6666666666667</v>
      </c>
      <c r="BC23" s="27">
        <f>JanReport23[[#This Row],[PerDaySalary]]*JanReport23[[#This Row],[Abesent]]</f>
        <v>0</v>
      </c>
      <c r="BD23" s="27">
        <f>JanReport23[[#This Row],[Salary]]-JanReport23[[#This Row],[Deduction]]</f>
        <v>35000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38">
        <v>10018</v>
      </c>
      <c r="H24" s="9">
        <f t="shared" si="2"/>
        <v>5</v>
      </c>
      <c r="I24" s="15" t="s">
        <v>41</v>
      </c>
      <c r="J24" s="15" t="str">
        <f t="shared" si="12"/>
        <v>WO</v>
      </c>
      <c r="K24" s="15" t="s">
        <v>41</v>
      </c>
      <c r="L24" s="15" t="s">
        <v>41</v>
      </c>
      <c r="M24" s="15" t="s">
        <v>41</v>
      </c>
      <c r="N24" s="15" t="s">
        <v>41</v>
      </c>
      <c r="O24" s="15" t="s">
        <v>41</v>
      </c>
      <c r="P24" s="15" t="s">
        <v>41</v>
      </c>
      <c r="Q24" s="15" t="str">
        <f t="shared" si="12"/>
        <v>WO</v>
      </c>
      <c r="R24" s="45" t="s">
        <v>41</v>
      </c>
      <c r="S24" s="45" t="s">
        <v>41</v>
      </c>
      <c r="T24" s="45" t="s">
        <v>41</v>
      </c>
      <c r="U24" s="45" t="s">
        <v>41</v>
      </c>
      <c r="V24" s="45" t="s">
        <v>41</v>
      </c>
      <c r="W24" s="45" t="s">
        <v>41</v>
      </c>
      <c r="X24" s="15" t="str">
        <f t="shared" si="12"/>
        <v>WO</v>
      </c>
      <c r="Y24" s="45" t="s">
        <v>41</v>
      </c>
      <c r="Z24" s="45" t="s">
        <v>41</v>
      </c>
      <c r="AA24" s="45" t="s">
        <v>43</v>
      </c>
      <c r="AB24" s="45" t="s">
        <v>41</v>
      </c>
      <c r="AC24" s="45" t="s">
        <v>41</v>
      </c>
      <c r="AD24" s="45" t="s">
        <v>41</v>
      </c>
      <c r="AE24" s="15" t="str">
        <f t="shared" si="13"/>
        <v>WO</v>
      </c>
      <c r="AF24" s="15" t="s">
        <v>41</v>
      </c>
      <c r="AG24" s="15" t="s">
        <v>41</v>
      </c>
      <c r="AH24" s="15" t="s">
        <v>41</v>
      </c>
      <c r="AI24" s="15" t="s">
        <v>41</v>
      </c>
      <c r="AJ24" s="15" t="s">
        <v>41</v>
      </c>
      <c r="AK24" s="15" t="s">
        <v>41</v>
      </c>
      <c r="AL24" s="15" t="str">
        <f t="shared" si="13"/>
        <v>WO</v>
      </c>
      <c r="AM24" s="16"/>
      <c r="AN24" s="41"/>
      <c r="AO24" s="41"/>
      <c r="AP24" s="30"/>
      <c r="AQ24" s="9">
        <v>18</v>
      </c>
      <c r="AR24" s="9" t="s">
        <v>20</v>
      </c>
      <c r="AS24" s="9" t="str">
        <f t="shared" si="5"/>
        <v>November</v>
      </c>
      <c r="AT24" s="10">
        <v>10018</v>
      </c>
      <c r="AU24" s="15">
        <f t="shared" si="6"/>
        <v>24</v>
      </c>
      <c r="AV24" s="15">
        <f t="shared" si="7"/>
        <v>0</v>
      </c>
      <c r="AW24" s="15">
        <f t="shared" si="8"/>
        <v>1</v>
      </c>
      <c r="AX24" s="15">
        <f t="shared" si="9"/>
        <v>5</v>
      </c>
      <c r="AY24" s="25">
        <f t="shared" si="10"/>
        <v>30</v>
      </c>
      <c r="AZ24" s="25">
        <f>JanReport23[[#This Row],[Days]]-JanReport23[[#This Row],[Abesent]]</f>
        <v>30</v>
      </c>
      <c r="BA24" s="26">
        <v>28000</v>
      </c>
      <c r="BB24" s="27">
        <f>JanReport23[[#This Row],[Salary]]/JanReport23[[#This Row],[Days]]</f>
        <v>933.33333333333337</v>
      </c>
      <c r="BC24" s="27">
        <f>JanReport23[[#This Row],[PerDaySalary]]*JanReport23[[#This Row],[Abesent]]</f>
        <v>0</v>
      </c>
      <c r="BD24" s="27">
        <f>JanReport23[[#This Row],[Salary]]-JanReport23[[#This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38">
        <v>10019</v>
      </c>
      <c r="H25" s="9">
        <f t="shared" si="2"/>
        <v>5</v>
      </c>
      <c r="I25" s="15" t="s">
        <v>41</v>
      </c>
      <c r="J25" s="15" t="str">
        <f t="shared" si="12"/>
        <v>WO</v>
      </c>
      <c r="K25" s="15" t="s">
        <v>41</v>
      </c>
      <c r="L25" s="15" t="s">
        <v>41</v>
      </c>
      <c r="M25" s="15" t="s">
        <v>41</v>
      </c>
      <c r="N25" s="15" t="s">
        <v>41</v>
      </c>
      <c r="O25" s="15" t="s">
        <v>41</v>
      </c>
      <c r="P25" s="15" t="s">
        <v>41</v>
      </c>
      <c r="Q25" s="15" t="str">
        <f t="shared" si="12"/>
        <v>WO</v>
      </c>
      <c r="R25" s="45" t="s">
        <v>41</v>
      </c>
      <c r="S25" s="45" t="s">
        <v>41</v>
      </c>
      <c r="T25" s="45" t="s">
        <v>41</v>
      </c>
      <c r="U25" s="45" t="s">
        <v>41</v>
      </c>
      <c r="V25" s="45" t="s">
        <v>41</v>
      </c>
      <c r="W25" s="45" t="s">
        <v>41</v>
      </c>
      <c r="X25" s="15" t="str">
        <f t="shared" si="12"/>
        <v>WO</v>
      </c>
      <c r="Y25" s="45" t="s">
        <v>41</v>
      </c>
      <c r="Z25" s="45" t="s">
        <v>41</v>
      </c>
      <c r="AA25" s="45" t="s">
        <v>41</v>
      </c>
      <c r="AB25" s="45" t="s">
        <v>41</v>
      </c>
      <c r="AC25" s="45" t="s">
        <v>41</v>
      </c>
      <c r="AD25" s="45" t="s">
        <v>41</v>
      </c>
      <c r="AE25" s="15" t="str">
        <f t="shared" si="13"/>
        <v>WO</v>
      </c>
      <c r="AF25" s="15" t="s">
        <v>41</v>
      </c>
      <c r="AG25" s="15" t="s">
        <v>41</v>
      </c>
      <c r="AH25" s="15" t="s">
        <v>41</v>
      </c>
      <c r="AI25" s="15" t="s">
        <v>41</v>
      </c>
      <c r="AJ25" s="45" t="s">
        <v>43</v>
      </c>
      <c r="AK25" s="15" t="s">
        <v>41</v>
      </c>
      <c r="AL25" s="15" t="str">
        <f t="shared" si="13"/>
        <v>WO</v>
      </c>
      <c r="AM25" s="16"/>
      <c r="AN25" s="41"/>
      <c r="AO25" s="41"/>
      <c r="AP25" s="30"/>
      <c r="AQ25" s="9">
        <v>19</v>
      </c>
      <c r="AR25" s="9" t="s">
        <v>21</v>
      </c>
      <c r="AS25" s="9" t="str">
        <f t="shared" si="5"/>
        <v>November</v>
      </c>
      <c r="AT25" s="10">
        <v>10019</v>
      </c>
      <c r="AU25" s="15">
        <f t="shared" si="6"/>
        <v>24</v>
      </c>
      <c r="AV25" s="15">
        <f t="shared" si="7"/>
        <v>0</v>
      </c>
      <c r="AW25" s="15">
        <f t="shared" si="8"/>
        <v>1</v>
      </c>
      <c r="AX25" s="15">
        <f t="shared" si="9"/>
        <v>5</v>
      </c>
      <c r="AY25" s="25">
        <f t="shared" si="10"/>
        <v>30</v>
      </c>
      <c r="AZ25" s="25">
        <f>JanReport23[[#This Row],[Days]]-JanReport23[[#This Row],[Abesent]]</f>
        <v>30</v>
      </c>
      <c r="BA25" s="26">
        <v>19000</v>
      </c>
      <c r="BB25" s="27">
        <f>JanReport23[[#This Row],[Salary]]/JanReport23[[#This Row],[Days]]</f>
        <v>633.33333333333337</v>
      </c>
      <c r="BC25" s="27">
        <f>JanReport23[[#This Row],[PerDaySalary]]*JanReport23[[#This Row],[Abesent]]</f>
        <v>0</v>
      </c>
      <c r="BD25" s="27">
        <f>JanReport23[[#This Row],[Salary]]-JanReport23[[#This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39">
        <v>10020</v>
      </c>
      <c r="H26" s="12">
        <f t="shared" si="2"/>
        <v>5</v>
      </c>
      <c r="I26" s="17" t="s">
        <v>41</v>
      </c>
      <c r="J26" s="17" t="str">
        <f t="shared" si="12"/>
        <v>WO</v>
      </c>
      <c r="K26" s="17" t="s">
        <v>41</v>
      </c>
      <c r="L26" s="17" t="s">
        <v>41</v>
      </c>
      <c r="M26" s="17" t="s">
        <v>41</v>
      </c>
      <c r="N26" s="17" t="s">
        <v>41</v>
      </c>
      <c r="O26" s="17" t="s">
        <v>41</v>
      </c>
      <c r="P26" s="17" t="s">
        <v>41</v>
      </c>
      <c r="Q26" s="17" t="str">
        <f t="shared" si="12"/>
        <v>WO</v>
      </c>
      <c r="R26" s="46" t="s">
        <v>41</v>
      </c>
      <c r="S26" s="46" t="s">
        <v>41</v>
      </c>
      <c r="T26" s="46" t="s">
        <v>41</v>
      </c>
      <c r="U26" s="46" t="s">
        <v>41</v>
      </c>
      <c r="V26" s="46" t="s">
        <v>41</v>
      </c>
      <c r="W26" s="46" t="s">
        <v>41</v>
      </c>
      <c r="X26" s="17" t="str">
        <f t="shared" si="12"/>
        <v>WO</v>
      </c>
      <c r="Y26" s="46" t="s">
        <v>41</v>
      </c>
      <c r="Z26" s="46" t="s">
        <v>41</v>
      </c>
      <c r="AA26" s="46" t="s">
        <v>41</v>
      </c>
      <c r="AB26" s="46" t="s">
        <v>41</v>
      </c>
      <c r="AC26" s="46" t="s">
        <v>41</v>
      </c>
      <c r="AD26" s="46" t="s">
        <v>41</v>
      </c>
      <c r="AE26" s="17" t="str">
        <f t="shared" si="13"/>
        <v>WO</v>
      </c>
      <c r="AF26" s="17" t="s">
        <v>41</v>
      </c>
      <c r="AG26" s="17" t="s">
        <v>41</v>
      </c>
      <c r="AH26" s="17" t="s">
        <v>41</v>
      </c>
      <c r="AI26" s="17" t="s">
        <v>41</v>
      </c>
      <c r="AJ26" s="17" t="s">
        <v>41</v>
      </c>
      <c r="AK26" s="17" t="s">
        <v>41</v>
      </c>
      <c r="AL26" s="17" t="str">
        <f t="shared" si="13"/>
        <v>WO</v>
      </c>
      <c r="AM26" s="18"/>
      <c r="AN26" s="41"/>
      <c r="AO26" s="41"/>
      <c r="AP26" s="30"/>
      <c r="AQ26" s="9">
        <v>20</v>
      </c>
      <c r="AR26" s="9" t="s">
        <v>22</v>
      </c>
      <c r="AS26" s="9" t="str">
        <f t="shared" si="5"/>
        <v>November</v>
      </c>
      <c r="AT26" s="10">
        <v>10020</v>
      </c>
      <c r="AU26" s="15">
        <f t="shared" si="6"/>
        <v>25</v>
      </c>
      <c r="AV26" s="15">
        <f t="shared" si="7"/>
        <v>0</v>
      </c>
      <c r="AW26" s="15">
        <f t="shared" si="8"/>
        <v>0</v>
      </c>
      <c r="AX26" s="15">
        <f t="shared" si="9"/>
        <v>5</v>
      </c>
      <c r="AY26" s="25">
        <f t="shared" si="10"/>
        <v>30</v>
      </c>
      <c r="AZ26" s="25">
        <f>JanReport23[[#This Row],[Days]]-JanReport23[[#This Row],[Abesent]]</f>
        <v>30</v>
      </c>
      <c r="BA26" s="26">
        <v>20000</v>
      </c>
      <c r="BB26" s="27">
        <f>JanReport23[[#This Row],[Salary]]/JanReport23[[#This Row],[Days]]</f>
        <v>666.66666666666663</v>
      </c>
      <c r="BC26" s="27">
        <f>JanReport23[[#This Row],[PerDaySalary]]*JanReport23[[#This Row],[Abesent]]</f>
        <v>0</v>
      </c>
      <c r="BD26" s="27">
        <f>JanReport23[[#This Row],[Salary]]-JanReport23[[#This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7" priority="1" operator="containsText" text="L">
      <formula>NOT(ISERROR(SEARCH("L",I7)))</formula>
    </cfRule>
    <cfRule type="containsText" dxfId="6" priority="2" operator="containsText" text="A">
      <formula>NOT(ISERROR(SEARCH("A",I7)))</formula>
    </cfRule>
    <cfRule type="containsText" dxfId="5" priority="3" operator="containsText" text="P">
      <formula>NOT(ISERROR(SEARCH("P",I7)))</formula>
    </cfRule>
    <cfRule type="containsText" dxfId="4" priority="4" operator="containsText" text="WO">
      <formula>NOT(ISERROR(SEARCH("WO",I7)))</formula>
    </cfRule>
  </conditionalFormatting>
  <dataValidations count="1">
    <dataValidation type="list" allowBlank="1" showInputMessage="1" showErrorMessage="1" sqref="R7:W26 Y7:AD26 I7:I26 AF7:AK26 K7:P26" xr:uid="{9AC30466-84C2-46D0-BBA4-0587A1AA7C6D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989F3A-17EA-43E4-BDB3-58EF6370408A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766B52B-D5A6-4757-B14A-31CFFAD704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Nov!AU7:AW7</xm:f>
              <xm:sqref>BE7</xm:sqref>
            </x14:sparkline>
            <x14:sparkline>
              <xm:f>Nov!AU8:AW8</xm:f>
              <xm:sqref>BE8</xm:sqref>
            </x14:sparkline>
            <x14:sparkline>
              <xm:f>Nov!AU9:AW9</xm:f>
              <xm:sqref>BE9</xm:sqref>
            </x14:sparkline>
            <x14:sparkline>
              <xm:f>Nov!AU10:AW10</xm:f>
              <xm:sqref>BE10</xm:sqref>
            </x14:sparkline>
            <x14:sparkline>
              <xm:f>Nov!AU11:AW11</xm:f>
              <xm:sqref>BE11</xm:sqref>
            </x14:sparkline>
            <x14:sparkline>
              <xm:f>Nov!AU12:AW12</xm:f>
              <xm:sqref>BE12</xm:sqref>
            </x14:sparkline>
            <x14:sparkline>
              <xm:f>Nov!AU13:AW13</xm:f>
              <xm:sqref>BE13</xm:sqref>
            </x14:sparkline>
            <x14:sparkline>
              <xm:f>Nov!AU14:AW14</xm:f>
              <xm:sqref>BE14</xm:sqref>
            </x14:sparkline>
            <x14:sparkline>
              <xm:f>Nov!AU15:AW15</xm:f>
              <xm:sqref>BE15</xm:sqref>
            </x14:sparkline>
            <x14:sparkline>
              <xm:f>Nov!AU16:AW16</xm:f>
              <xm:sqref>BE16</xm:sqref>
            </x14:sparkline>
            <x14:sparkline>
              <xm:f>Nov!AU17:AW17</xm:f>
              <xm:sqref>BE17</xm:sqref>
            </x14:sparkline>
            <x14:sparkline>
              <xm:f>Nov!AU18:AW18</xm:f>
              <xm:sqref>BE18</xm:sqref>
            </x14:sparkline>
            <x14:sparkline>
              <xm:f>Nov!AU19:AW19</xm:f>
              <xm:sqref>BE19</xm:sqref>
            </x14:sparkline>
            <x14:sparkline>
              <xm:f>Nov!AU20:AW20</xm:f>
              <xm:sqref>BE20</xm:sqref>
            </x14:sparkline>
            <x14:sparkline>
              <xm:f>Nov!AU21:AW21</xm:f>
              <xm:sqref>BE21</xm:sqref>
            </x14:sparkline>
            <x14:sparkline>
              <xm:f>Nov!AU22:AW22</xm:f>
              <xm:sqref>BE22</xm:sqref>
            </x14:sparkline>
            <x14:sparkline>
              <xm:f>Nov!AU23:AW23</xm:f>
              <xm:sqref>BE23</xm:sqref>
            </x14:sparkline>
            <x14:sparkline>
              <xm:f>Nov!AU24:AW24</xm:f>
              <xm:sqref>BE24</xm:sqref>
            </x14:sparkline>
            <x14:sparkline>
              <xm:f>Nov!AU25:AW25</xm:f>
              <xm:sqref>BE25</xm:sqref>
            </x14:sparkline>
            <x14:sparkline>
              <xm:f>Nov!AU26:AW26</xm:f>
              <xm:sqref>BE26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5098-1233-4DAB-96DF-FD45652391C5}">
  <dimension ref="A1:BI32"/>
  <sheetViews>
    <sheetView zoomScaleNormal="100" workbookViewId="0">
      <selection activeCell="D19" sqref="D19"/>
    </sheetView>
  </sheetViews>
  <sheetFormatPr defaultRowHeight="14.4" x14ac:dyDescent="0.3"/>
  <cols>
    <col min="5" max="5" width="5.6640625" bestFit="1" customWidth="1"/>
    <col min="6" max="6" width="14.6640625" bestFit="1" customWidth="1"/>
    <col min="7" max="7" width="11.44140625" bestFit="1" customWidth="1"/>
    <col min="8" max="8" width="11" bestFit="1" customWidth="1"/>
    <col min="9" max="9" width="5.21875" bestFit="1" customWidth="1"/>
    <col min="10" max="10" width="4.88671875" bestFit="1" customWidth="1"/>
    <col min="11" max="11" width="4.21875" bestFit="1" customWidth="1"/>
    <col min="12" max="12" width="3.44140625" bestFit="1" customWidth="1"/>
    <col min="13" max="13" width="3.6640625" bestFit="1" customWidth="1"/>
    <col min="14" max="14" width="4.21875" bestFit="1" customWidth="1"/>
    <col min="15" max="15" width="5" bestFit="1" customWidth="1"/>
    <col min="16" max="16" width="4.109375" bestFit="1" customWidth="1"/>
    <col min="17" max="17" width="4.88671875" bestFit="1" customWidth="1"/>
    <col min="18" max="18" width="4.21875" bestFit="1" customWidth="1"/>
    <col min="19" max="19" width="3.44140625" bestFit="1" customWidth="1"/>
    <col min="20" max="20" width="3.6640625" bestFit="1" customWidth="1"/>
    <col min="21" max="21" width="4.21875" bestFit="1" customWidth="1"/>
    <col min="22" max="22" width="5" bestFit="1" customWidth="1"/>
    <col min="23" max="23" width="4.109375" bestFit="1" customWidth="1"/>
    <col min="24" max="24" width="4.88671875" bestFit="1" customWidth="1"/>
    <col min="25" max="25" width="4.21875" bestFit="1" customWidth="1"/>
    <col min="26" max="26" width="3.44140625" bestFit="1" customWidth="1"/>
    <col min="27" max="27" width="3.6640625" bestFit="1" customWidth="1"/>
    <col min="28" max="28" width="4.21875" bestFit="1" customWidth="1"/>
    <col min="29" max="29" width="5" bestFit="1" customWidth="1"/>
    <col min="30" max="30" width="4.109375" bestFit="1" customWidth="1"/>
    <col min="31" max="31" width="4.88671875" bestFit="1" customWidth="1"/>
    <col min="32" max="32" width="4.21875" bestFit="1" customWidth="1"/>
    <col min="33" max="33" width="3.44140625" bestFit="1" customWidth="1"/>
    <col min="34" max="34" width="3.6640625" bestFit="1" customWidth="1"/>
    <col min="35" max="35" width="4.21875" bestFit="1" customWidth="1"/>
    <col min="36" max="36" width="5" bestFit="1" customWidth="1"/>
    <col min="37" max="37" width="4.109375" bestFit="1" customWidth="1"/>
    <col min="38" max="38" width="4.88671875" bestFit="1" customWidth="1"/>
    <col min="39" max="39" width="4.21875" bestFit="1" customWidth="1"/>
    <col min="40" max="41" width="4.21875" customWidth="1"/>
    <col min="43" max="43" width="7.5546875" customWidth="1"/>
    <col min="44" max="44" width="14.6640625" bestFit="1" customWidth="1"/>
    <col min="45" max="45" width="14.6640625" customWidth="1"/>
    <col min="46" max="46" width="13.33203125" customWidth="1"/>
    <col min="47" max="47" width="9.6640625" customWidth="1"/>
    <col min="48" max="48" width="9.77734375" customWidth="1"/>
    <col min="50" max="50" width="10.33203125" customWidth="1"/>
    <col min="52" max="52" width="10.5546875" customWidth="1"/>
    <col min="53" max="53" width="12.77734375" bestFit="1" customWidth="1"/>
    <col min="54" max="54" width="14" customWidth="1"/>
    <col min="55" max="55" width="11.5546875" customWidth="1"/>
    <col min="56" max="56" width="10.77734375" bestFit="1" customWidth="1"/>
    <col min="57" max="57" width="17.88671875" customWidth="1"/>
  </cols>
  <sheetData>
    <row r="1" spans="3:61" ht="14.4" customHeight="1" x14ac:dyDescent="0.3">
      <c r="AN1" s="41"/>
      <c r="AO1" s="41"/>
      <c r="AP1" s="30"/>
      <c r="AQ1" s="50" t="s">
        <v>38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30"/>
      <c r="BG1" s="28"/>
      <c r="BH1" s="28"/>
      <c r="BI1" s="28"/>
    </row>
    <row r="2" spans="3:61" ht="15" customHeight="1" x14ac:dyDescent="0.3">
      <c r="AN2" s="41"/>
      <c r="AO2" s="41"/>
      <c r="AP2" s="3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30"/>
      <c r="BG2" s="28"/>
      <c r="BH2" s="28"/>
      <c r="BI2" s="28"/>
    </row>
    <row r="3" spans="3:61" x14ac:dyDescent="0.3">
      <c r="C3" s="28"/>
      <c r="D3" s="40"/>
      <c r="E3" s="40"/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1"/>
      <c r="AO3" s="41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28"/>
      <c r="BH3" s="28"/>
      <c r="BI3" s="28"/>
    </row>
    <row r="4" spans="3:61" ht="15" thickBot="1" x14ac:dyDescent="0.35">
      <c r="C4" s="28"/>
      <c r="D4" s="40"/>
      <c r="E4" s="42" t="s">
        <v>25</v>
      </c>
      <c r="F4" s="43">
        <v>45992</v>
      </c>
      <c r="G4" s="42" t="str">
        <f>TEXT(F4,"MMMM")</f>
        <v>December</v>
      </c>
      <c r="H4" s="44">
        <f>(DATEDIF(F4,J4,"D"))+1</f>
        <v>31</v>
      </c>
      <c r="I4" s="42" t="s">
        <v>26</v>
      </c>
      <c r="J4" s="47">
        <f>EOMONTH(F4,0)</f>
        <v>46022</v>
      </c>
      <c r="K4" s="47"/>
      <c r="L4" s="47"/>
      <c r="M4" s="47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41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28"/>
      <c r="BH4" s="28"/>
      <c r="BI4" s="28"/>
    </row>
    <row r="5" spans="3:61" x14ac:dyDescent="0.3">
      <c r="C5" s="28"/>
      <c r="D5" s="40"/>
      <c r="E5" s="48" t="s">
        <v>29</v>
      </c>
      <c r="F5" s="49"/>
      <c r="G5" s="49"/>
      <c r="H5" s="13" t="s">
        <v>28</v>
      </c>
      <c r="I5" s="13" t="str">
        <f>TEXT(I6,"ddd")</f>
        <v>Mon</v>
      </c>
      <c r="J5" s="13" t="str">
        <f t="shared" ref="J5:AM5" si="0">TEXT(J6,"ddd")</f>
        <v>Tue</v>
      </c>
      <c r="K5" s="13" t="str">
        <f t="shared" si="0"/>
        <v>Wed</v>
      </c>
      <c r="L5" s="13" t="str">
        <f t="shared" si="0"/>
        <v>Thu</v>
      </c>
      <c r="M5" s="13" t="str">
        <f t="shared" si="0"/>
        <v>Fri</v>
      </c>
      <c r="N5" s="13" t="str">
        <f t="shared" si="0"/>
        <v>Sat</v>
      </c>
      <c r="O5" s="13" t="str">
        <f t="shared" si="0"/>
        <v>Sun</v>
      </c>
      <c r="P5" s="13" t="str">
        <f t="shared" si="0"/>
        <v>Mon</v>
      </c>
      <c r="Q5" s="13" t="str">
        <f t="shared" si="0"/>
        <v>Tue</v>
      </c>
      <c r="R5" s="13" t="str">
        <f t="shared" si="0"/>
        <v>Wed</v>
      </c>
      <c r="S5" s="13" t="str">
        <f t="shared" si="0"/>
        <v>Thu</v>
      </c>
      <c r="T5" s="13" t="str">
        <f t="shared" si="0"/>
        <v>Fri</v>
      </c>
      <c r="U5" s="13" t="str">
        <f t="shared" si="0"/>
        <v>Sat</v>
      </c>
      <c r="V5" s="13" t="str">
        <f t="shared" si="0"/>
        <v>Sun</v>
      </c>
      <c r="W5" s="13" t="str">
        <f t="shared" si="0"/>
        <v>Mon</v>
      </c>
      <c r="X5" s="13" t="str">
        <f t="shared" si="0"/>
        <v>Tue</v>
      </c>
      <c r="Y5" s="13" t="str">
        <f t="shared" si="0"/>
        <v>Wed</v>
      </c>
      <c r="Z5" s="13" t="str">
        <f t="shared" si="0"/>
        <v>Thu</v>
      </c>
      <c r="AA5" s="13" t="str">
        <f t="shared" si="0"/>
        <v>Fri</v>
      </c>
      <c r="AB5" s="13" t="str">
        <f t="shared" si="0"/>
        <v>Sat</v>
      </c>
      <c r="AC5" s="13" t="str">
        <f t="shared" si="0"/>
        <v>Sun</v>
      </c>
      <c r="AD5" s="13" t="str">
        <f t="shared" si="0"/>
        <v>Mon</v>
      </c>
      <c r="AE5" s="13" t="str">
        <f t="shared" si="0"/>
        <v>Tue</v>
      </c>
      <c r="AF5" s="13" t="str">
        <f t="shared" si="0"/>
        <v>Wed</v>
      </c>
      <c r="AG5" s="13" t="str">
        <f t="shared" si="0"/>
        <v>Thu</v>
      </c>
      <c r="AH5" s="13" t="str">
        <f t="shared" si="0"/>
        <v>Fri</v>
      </c>
      <c r="AI5" s="13" t="str">
        <f t="shared" si="0"/>
        <v>Sat</v>
      </c>
      <c r="AJ5" s="13" t="str">
        <f t="shared" si="0"/>
        <v>Sun</v>
      </c>
      <c r="AK5" s="13" t="str">
        <f t="shared" si="0"/>
        <v>Mon</v>
      </c>
      <c r="AL5" s="13" t="str">
        <f t="shared" si="0"/>
        <v>Tue</v>
      </c>
      <c r="AM5" s="14" t="str">
        <f t="shared" si="0"/>
        <v>Wed</v>
      </c>
      <c r="AN5" s="41"/>
      <c r="AO5" s="41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28"/>
      <c r="BH5" s="28"/>
      <c r="BI5" s="28"/>
    </row>
    <row r="6" spans="3:61" ht="15" thickBot="1" x14ac:dyDescent="0.35">
      <c r="C6" s="28"/>
      <c r="D6" s="40"/>
      <c r="E6" s="35" t="s">
        <v>0</v>
      </c>
      <c r="F6" s="32" t="s">
        <v>1</v>
      </c>
      <c r="G6" s="32" t="s">
        <v>2</v>
      </c>
      <c r="H6" s="33" t="s">
        <v>27</v>
      </c>
      <c r="I6" s="34">
        <f>F4</f>
        <v>45992</v>
      </c>
      <c r="J6" s="34">
        <f>IF(I6&lt;$J$4,I6+1,"")</f>
        <v>45993</v>
      </c>
      <c r="K6" s="34">
        <f t="shared" ref="K6:AM6" si="1">IF(J6&lt;$J$4,J6+1,"")</f>
        <v>45994</v>
      </c>
      <c r="L6" s="34">
        <f t="shared" si="1"/>
        <v>45995</v>
      </c>
      <c r="M6" s="34">
        <f t="shared" si="1"/>
        <v>45996</v>
      </c>
      <c r="N6" s="34">
        <f t="shared" si="1"/>
        <v>45997</v>
      </c>
      <c r="O6" s="34">
        <f t="shared" si="1"/>
        <v>45998</v>
      </c>
      <c r="P6" s="34">
        <f t="shared" si="1"/>
        <v>45999</v>
      </c>
      <c r="Q6" s="34">
        <f t="shared" si="1"/>
        <v>46000</v>
      </c>
      <c r="R6" s="34">
        <f t="shared" si="1"/>
        <v>46001</v>
      </c>
      <c r="S6" s="34">
        <f t="shared" si="1"/>
        <v>46002</v>
      </c>
      <c r="T6" s="34">
        <f t="shared" si="1"/>
        <v>46003</v>
      </c>
      <c r="U6" s="34">
        <f t="shared" si="1"/>
        <v>46004</v>
      </c>
      <c r="V6" s="34">
        <f t="shared" si="1"/>
        <v>46005</v>
      </c>
      <c r="W6" s="34">
        <f t="shared" si="1"/>
        <v>46006</v>
      </c>
      <c r="X6" s="34">
        <f t="shared" si="1"/>
        <v>46007</v>
      </c>
      <c r="Y6" s="34">
        <f t="shared" si="1"/>
        <v>46008</v>
      </c>
      <c r="Z6" s="34">
        <f t="shared" si="1"/>
        <v>46009</v>
      </c>
      <c r="AA6" s="34">
        <f t="shared" si="1"/>
        <v>46010</v>
      </c>
      <c r="AB6" s="34">
        <f t="shared" si="1"/>
        <v>46011</v>
      </c>
      <c r="AC6" s="34">
        <f t="shared" si="1"/>
        <v>46012</v>
      </c>
      <c r="AD6" s="34">
        <f t="shared" si="1"/>
        <v>46013</v>
      </c>
      <c r="AE6" s="34">
        <f t="shared" si="1"/>
        <v>46014</v>
      </c>
      <c r="AF6" s="34">
        <f t="shared" si="1"/>
        <v>46015</v>
      </c>
      <c r="AG6" s="34">
        <f t="shared" si="1"/>
        <v>46016</v>
      </c>
      <c r="AH6" s="34">
        <f t="shared" si="1"/>
        <v>46017</v>
      </c>
      <c r="AI6" s="34">
        <f t="shared" si="1"/>
        <v>46018</v>
      </c>
      <c r="AJ6" s="34">
        <f t="shared" si="1"/>
        <v>46019</v>
      </c>
      <c r="AK6" s="34">
        <f t="shared" si="1"/>
        <v>46020</v>
      </c>
      <c r="AL6" s="34">
        <f t="shared" si="1"/>
        <v>46021</v>
      </c>
      <c r="AM6" s="36">
        <f t="shared" si="1"/>
        <v>46022</v>
      </c>
      <c r="AN6" s="41"/>
      <c r="AO6" s="41"/>
      <c r="AP6" s="30"/>
      <c r="AQ6" s="29" t="s">
        <v>0</v>
      </c>
      <c r="AR6" s="29" t="s">
        <v>1</v>
      </c>
      <c r="AS6" s="29" t="s">
        <v>44</v>
      </c>
      <c r="AT6" s="29" t="s">
        <v>2</v>
      </c>
      <c r="AU6" s="29" t="s">
        <v>30</v>
      </c>
      <c r="AV6" s="29" t="s">
        <v>31</v>
      </c>
      <c r="AW6" s="29" t="s">
        <v>33</v>
      </c>
      <c r="AX6" s="29" t="s">
        <v>32</v>
      </c>
      <c r="AY6" s="29" t="s">
        <v>28</v>
      </c>
      <c r="AZ6" s="29" t="s">
        <v>34</v>
      </c>
      <c r="BA6" s="29" t="s">
        <v>35</v>
      </c>
      <c r="BB6" s="29" t="s">
        <v>36</v>
      </c>
      <c r="BC6" s="29" t="s">
        <v>37</v>
      </c>
      <c r="BD6" s="29" t="s">
        <v>39</v>
      </c>
      <c r="BE6" s="29" t="s">
        <v>40</v>
      </c>
      <c r="BF6" s="30"/>
      <c r="BG6" s="28"/>
      <c r="BH6" s="28"/>
      <c r="BI6" s="28"/>
    </row>
    <row r="7" spans="3:61" x14ac:dyDescent="0.3">
      <c r="C7" s="28"/>
      <c r="D7" s="40"/>
      <c r="E7" s="8">
        <v>1</v>
      </c>
      <c r="F7" s="9" t="s">
        <v>3</v>
      </c>
      <c r="G7" s="9">
        <v>10001</v>
      </c>
      <c r="H7" s="9">
        <f t="shared" ref="H7:H26" si="2">COUNTIF($I$5:$AL$5,"Sun")</f>
        <v>4</v>
      </c>
      <c r="I7" s="15" t="s">
        <v>41</v>
      </c>
      <c r="J7" s="15" t="s">
        <v>41</v>
      </c>
      <c r="K7" s="15" t="s">
        <v>41</v>
      </c>
      <c r="L7" s="15" t="s">
        <v>41</v>
      </c>
      <c r="M7" s="15" t="s">
        <v>41</v>
      </c>
      <c r="N7" s="15" t="s">
        <v>41</v>
      </c>
      <c r="O7" s="15" t="str">
        <f t="shared" ref="O7:V22" si="3">IF(O$5="Sun","WO","")</f>
        <v>WO</v>
      </c>
      <c r="P7" s="15" t="s">
        <v>41</v>
      </c>
      <c r="Q7" s="15" t="s">
        <v>41</v>
      </c>
      <c r="R7" s="15" t="s">
        <v>41</v>
      </c>
      <c r="S7" s="15" t="s">
        <v>41</v>
      </c>
      <c r="T7" s="15" t="s">
        <v>41</v>
      </c>
      <c r="U7" s="15" t="s">
        <v>41</v>
      </c>
      <c r="V7" s="15" t="str">
        <f t="shared" si="3"/>
        <v>WO</v>
      </c>
      <c r="W7" s="15" t="s">
        <v>41</v>
      </c>
      <c r="X7" s="15" t="s">
        <v>41</v>
      </c>
      <c r="Y7" s="15" t="s">
        <v>41</v>
      </c>
      <c r="Z7" s="15" t="s">
        <v>41</v>
      </c>
      <c r="AA7" s="15" t="s">
        <v>41</v>
      </c>
      <c r="AB7" s="15" t="s">
        <v>41</v>
      </c>
      <c r="AC7" s="15" t="str">
        <f t="shared" ref="AC7:AJ22" si="4">IF(AC$5="Sun","WO","")</f>
        <v>WO</v>
      </c>
      <c r="AD7" s="15" t="s">
        <v>41</v>
      </c>
      <c r="AE7" s="15" t="s">
        <v>41</v>
      </c>
      <c r="AF7" s="15" t="s">
        <v>41</v>
      </c>
      <c r="AG7" s="15" t="s">
        <v>41</v>
      </c>
      <c r="AH7" s="15" t="s">
        <v>41</v>
      </c>
      <c r="AI7" s="15" t="s">
        <v>41</v>
      </c>
      <c r="AJ7" s="15" t="str">
        <f t="shared" si="4"/>
        <v>WO</v>
      </c>
      <c r="AK7" s="15" t="s">
        <v>43</v>
      </c>
      <c r="AL7" s="15" t="s">
        <v>41</v>
      </c>
      <c r="AM7" s="16" t="s">
        <v>41</v>
      </c>
      <c r="AN7" s="41"/>
      <c r="AO7" s="41"/>
      <c r="AP7" s="30"/>
      <c r="AQ7" s="6">
        <v>1</v>
      </c>
      <c r="AR7" s="6" t="s">
        <v>3</v>
      </c>
      <c r="AS7" s="6" t="str">
        <f t="shared" ref="AS7:AS26" si="5">$G$4</f>
        <v>December</v>
      </c>
      <c r="AT7" s="7">
        <v>10001</v>
      </c>
      <c r="AU7" s="21">
        <f t="shared" ref="AU7:AU26" si="6">COUNTIF($I7:$AM7,"P")</f>
        <v>26</v>
      </c>
      <c r="AV7" s="21">
        <f t="shared" ref="AV7:AV26" si="7">COUNTIF($I7:$AM7,"A")</f>
        <v>0</v>
      </c>
      <c r="AW7" s="21">
        <f t="shared" ref="AW7:AW26" si="8">COUNTIF($I7:$AM7,"L")</f>
        <v>1</v>
      </c>
      <c r="AX7" s="21">
        <f t="shared" ref="AX7:AX26" si="9">$H$7</f>
        <v>4</v>
      </c>
      <c r="AY7" s="22">
        <f t="shared" ref="AY7:AY26" si="10">$H$4</f>
        <v>31</v>
      </c>
      <c r="AZ7" s="22">
        <f>JanReport24[[#This Row],[Days]]-JanReport24[[#This Row],[Abesent]]</f>
        <v>31</v>
      </c>
      <c r="BA7" s="23">
        <v>10000</v>
      </c>
      <c r="BB7" s="24">
        <f>JanReport24[[#This Row],[Salary]]/JanReport24[[#This Row],[Days]]</f>
        <v>322.58064516129031</v>
      </c>
      <c r="BC7" s="24">
        <f>JanReport24[[#This Row],[PerDaySalary]]*JanReport24[[#This Row],[Abesent]]</f>
        <v>0</v>
      </c>
      <c r="BD7" s="24">
        <f>JanReport24[[#This Row],[Salary]]-JanReport24[[#This Row],[Deduction]]</f>
        <v>10000</v>
      </c>
      <c r="BE7" s="21"/>
      <c r="BF7" s="30"/>
      <c r="BG7" s="28"/>
      <c r="BH7" s="28"/>
      <c r="BI7" s="28"/>
    </row>
    <row r="8" spans="3:61" x14ac:dyDescent="0.3">
      <c r="C8" s="28"/>
      <c r="D8" s="40"/>
      <c r="E8" s="8">
        <v>2</v>
      </c>
      <c r="F8" s="9" t="s">
        <v>4</v>
      </c>
      <c r="G8" s="9">
        <v>10002</v>
      </c>
      <c r="H8" s="9">
        <f t="shared" si="2"/>
        <v>4</v>
      </c>
      <c r="I8" s="15" t="s">
        <v>41</v>
      </c>
      <c r="J8" s="15" t="s">
        <v>43</v>
      </c>
      <c r="K8" s="15" t="s">
        <v>41</v>
      </c>
      <c r="L8" s="15" t="s">
        <v>41</v>
      </c>
      <c r="M8" s="15" t="s">
        <v>41</v>
      </c>
      <c r="N8" s="15" t="s">
        <v>41</v>
      </c>
      <c r="O8" s="15" t="str">
        <f t="shared" si="3"/>
        <v>WO</v>
      </c>
      <c r="P8" s="15" t="s">
        <v>41</v>
      </c>
      <c r="Q8" s="15" t="s">
        <v>41</v>
      </c>
      <c r="R8" s="15" t="s">
        <v>41</v>
      </c>
      <c r="S8" s="15" t="s">
        <v>41</v>
      </c>
      <c r="T8" s="15" t="s">
        <v>41</v>
      </c>
      <c r="U8" s="15" t="s">
        <v>41</v>
      </c>
      <c r="V8" s="15" t="str">
        <f t="shared" si="3"/>
        <v>WO</v>
      </c>
      <c r="W8" s="15" t="s">
        <v>41</v>
      </c>
      <c r="X8" s="15" t="s">
        <v>41</v>
      </c>
      <c r="Y8" s="15" t="s">
        <v>41</v>
      </c>
      <c r="Z8" s="15" t="s">
        <v>41</v>
      </c>
      <c r="AA8" s="15" t="s">
        <v>41</v>
      </c>
      <c r="AB8" s="15" t="s">
        <v>41</v>
      </c>
      <c r="AC8" s="15" t="str">
        <f t="shared" si="4"/>
        <v>WO</v>
      </c>
      <c r="AD8" s="15" t="s">
        <v>41</v>
      </c>
      <c r="AE8" s="15" t="s">
        <v>41</v>
      </c>
      <c r="AF8" s="15" t="s">
        <v>41</v>
      </c>
      <c r="AG8" s="15" t="s">
        <v>41</v>
      </c>
      <c r="AH8" s="15" t="s">
        <v>42</v>
      </c>
      <c r="AI8" s="15" t="s">
        <v>41</v>
      </c>
      <c r="AJ8" s="15" t="str">
        <f t="shared" si="4"/>
        <v>WO</v>
      </c>
      <c r="AK8" s="15" t="s">
        <v>41</v>
      </c>
      <c r="AL8" s="15" t="s">
        <v>41</v>
      </c>
      <c r="AM8" s="16" t="s">
        <v>41</v>
      </c>
      <c r="AN8" s="41"/>
      <c r="AO8" s="41"/>
      <c r="AP8" s="31"/>
      <c r="AQ8" s="9">
        <v>2</v>
      </c>
      <c r="AR8" s="9" t="s">
        <v>4</v>
      </c>
      <c r="AS8" s="9" t="str">
        <f t="shared" si="5"/>
        <v>December</v>
      </c>
      <c r="AT8" s="10">
        <v>10002</v>
      </c>
      <c r="AU8" s="15">
        <f t="shared" si="6"/>
        <v>25</v>
      </c>
      <c r="AV8" s="15">
        <f t="shared" si="7"/>
        <v>1</v>
      </c>
      <c r="AW8" s="15">
        <f t="shared" si="8"/>
        <v>1</v>
      </c>
      <c r="AX8" s="15">
        <f t="shared" si="9"/>
        <v>4</v>
      </c>
      <c r="AY8" s="25">
        <f t="shared" si="10"/>
        <v>31</v>
      </c>
      <c r="AZ8" s="25">
        <f>JanReport24[[#This Row],[Days]]-JanReport24[[#This Row],[Abesent]]</f>
        <v>30</v>
      </c>
      <c r="BA8" s="26">
        <v>15000</v>
      </c>
      <c r="BB8" s="27">
        <f>JanReport24[[#This Row],[Salary]]/JanReport24[[#This Row],[Days]]</f>
        <v>483.87096774193549</v>
      </c>
      <c r="BC8" s="27">
        <f>JanReport24[[#This Row],[PerDaySalary]]*JanReport24[[#This Row],[Abesent]]</f>
        <v>483.87096774193549</v>
      </c>
      <c r="BD8" s="27">
        <f>JanReport24[[#This Row],[Salary]]-JanReport24[[#This Row],[Deduction]]</f>
        <v>14516.129032258064</v>
      </c>
      <c r="BE8" s="15"/>
      <c r="BF8" s="30"/>
      <c r="BG8" s="28"/>
      <c r="BH8" s="28"/>
      <c r="BI8" s="28"/>
    </row>
    <row r="9" spans="3:61" x14ac:dyDescent="0.3">
      <c r="C9" s="28"/>
      <c r="D9" s="40"/>
      <c r="E9" s="8">
        <v>3</v>
      </c>
      <c r="F9" s="9" t="s">
        <v>5</v>
      </c>
      <c r="G9" s="9">
        <v>10003</v>
      </c>
      <c r="H9" s="9">
        <f t="shared" si="2"/>
        <v>4</v>
      </c>
      <c r="I9" s="15" t="s">
        <v>41</v>
      </c>
      <c r="J9" s="15" t="s">
        <v>41</v>
      </c>
      <c r="K9" s="15" t="s">
        <v>41</v>
      </c>
      <c r="L9" s="15" t="s">
        <v>41</v>
      </c>
      <c r="M9" s="15" t="s">
        <v>41</v>
      </c>
      <c r="N9" s="15" t="s">
        <v>41</v>
      </c>
      <c r="O9" s="15" t="str">
        <f t="shared" si="3"/>
        <v>WO</v>
      </c>
      <c r="P9" s="15" t="s">
        <v>41</v>
      </c>
      <c r="Q9" s="15" t="s">
        <v>41</v>
      </c>
      <c r="R9" s="15" t="s">
        <v>41</v>
      </c>
      <c r="S9" s="15" t="s">
        <v>41</v>
      </c>
      <c r="T9" s="15" t="s">
        <v>41</v>
      </c>
      <c r="U9" s="15" t="s">
        <v>41</v>
      </c>
      <c r="V9" s="15" t="str">
        <f t="shared" si="3"/>
        <v>WO</v>
      </c>
      <c r="W9" s="15" t="s">
        <v>41</v>
      </c>
      <c r="X9" s="15" t="s">
        <v>41</v>
      </c>
      <c r="Y9" s="15" t="s">
        <v>41</v>
      </c>
      <c r="Z9" s="15" t="s">
        <v>41</v>
      </c>
      <c r="AA9" s="15" t="s">
        <v>41</v>
      </c>
      <c r="AB9" s="15" t="s">
        <v>41</v>
      </c>
      <c r="AC9" s="15" t="str">
        <f t="shared" si="4"/>
        <v>WO</v>
      </c>
      <c r="AD9" s="15" t="s">
        <v>41</v>
      </c>
      <c r="AE9" s="15" t="s">
        <v>43</v>
      </c>
      <c r="AF9" s="15" t="s">
        <v>41</v>
      </c>
      <c r="AG9" s="15" t="s">
        <v>41</v>
      </c>
      <c r="AH9" s="15" t="s">
        <v>41</v>
      </c>
      <c r="AI9" s="15" t="s">
        <v>41</v>
      </c>
      <c r="AJ9" s="15" t="str">
        <f t="shared" si="4"/>
        <v>WO</v>
      </c>
      <c r="AK9" s="15" t="s">
        <v>41</v>
      </c>
      <c r="AL9" s="15" t="s">
        <v>42</v>
      </c>
      <c r="AM9" s="16" t="s">
        <v>41</v>
      </c>
      <c r="AN9" s="41"/>
      <c r="AO9" s="41"/>
      <c r="AP9" s="30"/>
      <c r="AQ9" s="9">
        <v>3</v>
      </c>
      <c r="AR9" s="9" t="s">
        <v>5</v>
      </c>
      <c r="AS9" s="9" t="str">
        <f t="shared" si="5"/>
        <v>December</v>
      </c>
      <c r="AT9" s="10">
        <v>10003</v>
      </c>
      <c r="AU9" s="15">
        <f t="shared" si="6"/>
        <v>25</v>
      </c>
      <c r="AV9" s="15">
        <f t="shared" si="7"/>
        <v>1</v>
      </c>
      <c r="AW9" s="15">
        <f t="shared" si="8"/>
        <v>1</v>
      </c>
      <c r="AX9" s="15">
        <f t="shared" si="9"/>
        <v>4</v>
      </c>
      <c r="AY9" s="25">
        <f t="shared" si="10"/>
        <v>31</v>
      </c>
      <c r="AZ9" s="25">
        <f>JanReport24[[#This Row],[Days]]-JanReport24[[#This Row],[Abesent]]</f>
        <v>30</v>
      </c>
      <c r="BA9" s="26">
        <v>20000</v>
      </c>
      <c r="BB9" s="27">
        <f>JanReport24[[#This Row],[Salary]]/JanReport24[[#This Row],[Days]]</f>
        <v>645.16129032258061</v>
      </c>
      <c r="BC9" s="27">
        <f>JanReport24[[#This Row],[PerDaySalary]]*JanReport24[[#This Row],[Abesent]]</f>
        <v>645.16129032258061</v>
      </c>
      <c r="BD9" s="27">
        <f>JanReport24[[#This Row],[Salary]]-JanReport24[[#This Row],[Deduction]]</f>
        <v>19354.83870967742</v>
      </c>
      <c r="BE9" s="15"/>
      <c r="BF9" s="30"/>
      <c r="BG9" s="28"/>
      <c r="BH9" s="28"/>
      <c r="BI9" s="28"/>
    </row>
    <row r="10" spans="3:61" x14ac:dyDescent="0.3">
      <c r="C10" s="28"/>
      <c r="D10" s="40"/>
      <c r="E10" s="8">
        <v>4</v>
      </c>
      <c r="F10" s="9" t="s">
        <v>6</v>
      </c>
      <c r="G10" s="9">
        <v>10004</v>
      </c>
      <c r="H10" s="9">
        <f t="shared" si="2"/>
        <v>4</v>
      </c>
      <c r="I10" s="15" t="s">
        <v>41</v>
      </c>
      <c r="J10" s="15" t="s">
        <v>41</v>
      </c>
      <c r="K10" s="15" t="s">
        <v>41</v>
      </c>
      <c r="L10" s="15" t="s">
        <v>41</v>
      </c>
      <c r="M10" s="15" t="s">
        <v>41</v>
      </c>
      <c r="N10" s="15" t="s">
        <v>41</v>
      </c>
      <c r="O10" s="15" t="str">
        <f t="shared" si="3"/>
        <v>WO</v>
      </c>
      <c r="P10" s="15" t="s">
        <v>41</v>
      </c>
      <c r="Q10" s="15" t="s">
        <v>41</v>
      </c>
      <c r="R10" s="15" t="s">
        <v>41</v>
      </c>
      <c r="S10" s="15" t="s">
        <v>41</v>
      </c>
      <c r="T10" s="15" t="s">
        <v>41</v>
      </c>
      <c r="U10" s="15" t="s">
        <v>41</v>
      </c>
      <c r="V10" s="15" t="str">
        <f t="shared" si="3"/>
        <v>WO</v>
      </c>
      <c r="W10" s="15" t="s">
        <v>41</v>
      </c>
      <c r="X10" s="15" t="s">
        <v>41</v>
      </c>
      <c r="Y10" s="15" t="s">
        <v>41</v>
      </c>
      <c r="Z10" s="15" t="s">
        <v>41</v>
      </c>
      <c r="AA10" s="15" t="s">
        <v>41</v>
      </c>
      <c r="AB10" s="15" t="s">
        <v>41</v>
      </c>
      <c r="AC10" s="15" t="str">
        <f t="shared" si="4"/>
        <v>WO</v>
      </c>
      <c r="AD10" s="15" t="s">
        <v>41</v>
      </c>
      <c r="AE10" s="15" t="s">
        <v>41</v>
      </c>
      <c r="AF10" s="15" t="s">
        <v>41</v>
      </c>
      <c r="AG10" s="15" t="s">
        <v>41</v>
      </c>
      <c r="AH10" s="15" t="s">
        <v>41</v>
      </c>
      <c r="AI10" s="15" t="s">
        <v>41</v>
      </c>
      <c r="AJ10" s="15" t="str">
        <f t="shared" si="4"/>
        <v>WO</v>
      </c>
      <c r="AK10" s="15" t="s">
        <v>41</v>
      </c>
      <c r="AL10" s="15" t="s">
        <v>41</v>
      </c>
      <c r="AM10" s="16" t="s">
        <v>41</v>
      </c>
      <c r="AN10" s="41"/>
      <c r="AO10" s="41"/>
      <c r="AP10" s="30"/>
      <c r="AQ10" s="9">
        <v>4</v>
      </c>
      <c r="AR10" s="9" t="s">
        <v>6</v>
      </c>
      <c r="AS10" s="9" t="str">
        <f t="shared" si="5"/>
        <v>December</v>
      </c>
      <c r="AT10" s="10">
        <v>10004</v>
      </c>
      <c r="AU10" s="15">
        <f t="shared" si="6"/>
        <v>27</v>
      </c>
      <c r="AV10" s="15">
        <f t="shared" si="7"/>
        <v>0</v>
      </c>
      <c r="AW10" s="15">
        <f t="shared" si="8"/>
        <v>0</v>
      </c>
      <c r="AX10" s="15">
        <f t="shared" si="9"/>
        <v>4</v>
      </c>
      <c r="AY10" s="25">
        <f t="shared" si="10"/>
        <v>31</v>
      </c>
      <c r="AZ10" s="25">
        <f>JanReport24[[#This Row],[Days]]-JanReport24[[#This Row],[Abesent]]</f>
        <v>31</v>
      </c>
      <c r="BA10" s="26">
        <v>21000</v>
      </c>
      <c r="BB10" s="27">
        <f>JanReport24[[#This Row],[Salary]]/JanReport24[[#This Row],[Days]]</f>
        <v>677.41935483870964</v>
      </c>
      <c r="BC10" s="27">
        <f>JanReport24[[#This Row],[PerDaySalary]]*JanReport24[[#This Row],[Abesent]]</f>
        <v>0</v>
      </c>
      <c r="BD10" s="27">
        <f>JanReport24[[#This Row],[Salary]]-JanReport24[[#This Row],[Deduction]]</f>
        <v>21000</v>
      </c>
      <c r="BE10" s="15"/>
      <c r="BF10" s="30"/>
      <c r="BG10" s="28"/>
      <c r="BH10" s="28"/>
      <c r="BI10" s="28"/>
    </row>
    <row r="11" spans="3:61" x14ac:dyDescent="0.3">
      <c r="C11" s="28"/>
      <c r="D11" s="40"/>
      <c r="E11" s="8">
        <v>5</v>
      </c>
      <c r="F11" s="9" t="s">
        <v>7</v>
      </c>
      <c r="G11" s="9">
        <v>10005</v>
      </c>
      <c r="H11" s="9">
        <f t="shared" si="2"/>
        <v>4</v>
      </c>
      <c r="I11" s="15" t="s">
        <v>41</v>
      </c>
      <c r="J11" s="15" t="s">
        <v>41</v>
      </c>
      <c r="K11" s="15" t="s">
        <v>43</v>
      </c>
      <c r="L11" s="15" t="s">
        <v>41</v>
      </c>
      <c r="M11" s="15" t="s">
        <v>41</v>
      </c>
      <c r="N11" s="15" t="s">
        <v>41</v>
      </c>
      <c r="O11" s="15" t="str">
        <f t="shared" si="3"/>
        <v>WO</v>
      </c>
      <c r="P11" s="15" t="s">
        <v>41</v>
      </c>
      <c r="Q11" s="15" t="s">
        <v>41</v>
      </c>
      <c r="R11" s="15" t="s">
        <v>41</v>
      </c>
      <c r="S11" s="15" t="s">
        <v>41</v>
      </c>
      <c r="T11" s="15" t="s">
        <v>42</v>
      </c>
      <c r="U11" s="15" t="s">
        <v>41</v>
      </c>
      <c r="V11" s="15" t="str">
        <f t="shared" si="3"/>
        <v>WO</v>
      </c>
      <c r="W11" s="15" t="s">
        <v>41</v>
      </c>
      <c r="X11" s="15" t="s">
        <v>41</v>
      </c>
      <c r="Y11" s="15" t="s">
        <v>41</v>
      </c>
      <c r="Z11" s="15" t="s">
        <v>41</v>
      </c>
      <c r="AA11" s="15" t="s">
        <v>42</v>
      </c>
      <c r="AB11" s="15" t="s">
        <v>41</v>
      </c>
      <c r="AC11" s="15" t="str">
        <f t="shared" si="4"/>
        <v>WO</v>
      </c>
      <c r="AD11" s="15" t="s">
        <v>41</v>
      </c>
      <c r="AE11" s="15" t="s">
        <v>41</v>
      </c>
      <c r="AF11" s="15" t="s">
        <v>41</v>
      </c>
      <c r="AG11" s="15" t="s">
        <v>41</v>
      </c>
      <c r="AH11" s="15" t="s">
        <v>41</v>
      </c>
      <c r="AI11" s="15" t="s">
        <v>41</v>
      </c>
      <c r="AJ11" s="15" t="str">
        <f t="shared" si="4"/>
        <v>WO</v>
      </c>
      <c r="AK11" s="15" t="s">
        <v>41</v>
      </c>
      <c r="AL11" s="15" t="s">
        <v>41</v>
      </c>
      <c r="AM11" s="16" t="s">
        <v>41</v>
      </c>
      <c r="AN11" s="41"/>
      <c r="AO11" s="41"/>
      <c r="AP11" s="30"/>
      <c r="AQ11" s="9">
        <v>5</v>
      </c>
      <c r="AR11" s="9" t="s">
        <v>7</v>
      </c>
      <c r="AS11" s="9" t="str">
        <f t="shared" si="5"/>
        <v>December</v>
      </c>
      <c r="AT11" s="10">
        <v>10005</v>
      </c>
      <c r="AU11" s="15">
        <f t="shared" si="6"/>
        <v>24</v>
      </c>
      <c r="AV11" s="15">
        <f t="shared" si="7"/>
        <v>2</v>
      </c>
      <c r="AW11" s="15">
        <f t="shared" si="8"/>
        <v>1</v>
      </c>
      <c r="AX11" s="15">
        <f t="shared" si="9"/>
        <v>4</v>
      </c>
      <c r="AY11" s="25">
        <f t="shared" si="10"/>
        <v>31</v>
      </c>
      <c r="AZ11" s="25">
        <f>JanReport24[[#This Row],[Days]]-JanReport24[[#This Row],[Abesent]]</f>
        <v>29</v>
      </c>
      <c r="BA11" s="26">
        <v>18000</v>
      </c>
      <c r="BB11" s="27">
        <f>JanReport24[[#This Row],[Salary]]/JanReport24[[#This Row],[Days]]</f>
        <v>580.64516129032256</v>
      </c>
      <c r="BC11" s="27">
        <f>JanReport24[[#This Row],[PerDaySalary]]*JanReport24[[#This Row],[Abesent]]</f>
        <v>1161.2903225806451</v>
      </c>
      <c r="BD11" s="27">
        <f>JanReport24[[#This Row],[Salary]]-JanReport24[[#This Row],[Deduction]]</f>
        <v>16838.709677419356</v>
      </c>
      <c r="BE11" s="15"/>
      <c r="BF11" s="30"/>
      <c r="BG11" s="28"/>
      <c r="BH11" s="28"/>
      <c r="BI11" s="28"/>
    </row>
    <row r="12" spans="3:61" x14ac:dyDescent="0.3">
      <c r="C12" s="28"/>
      <c r="D12" s="40"/>
      <c r="E12" s="8">
        <v>6</v>
      </c>
      <c r="F12" s="9" t="s">
        <v>8</v>
      </c>
      <c r="G12" s="9">
        <v>10006</v>
      </c>
      <c r="H12" s="9">
        <f t="shared" si="2"/>
        <v>4</v>
      </c>
      <c r="I12" s="15" t="s">
        <v>42</v>
      </c>
      <c r="J12" s="15" t="s">
        <v>41</v>
      </c>
      <c r="K12" s="15" t="s">
        <v>41</v>
      </c>
      <c r="L12" s="15" t="s">
        <v>41</v>
      </c>
      <c r="M12" s="15" t="s">
        <v>41</v>
      </c>
      <c r="N12" s="15" t="s">
        <v>41</v>
      </c>
      <c r="O12" s="15" t="str">
        <f t="shared" si="3"/>
        <v>WO</v>
      </c>
      <c r="P12" s="15" t="s">
        <v>41</v>
      </c>
      <c r="Q12" s="15" t="s">
        <v>43</v>
      </c>
      <c r="R12" s="15" t="s">
        <v>41</v>
      </c>
      <c r="S12" s="15" t="s">
        <v>41</v>
      </c>
      <c r="T12" s="15" t="s">
        <v>41</v>
      </c>
      <c r="U12" s="15" t="s">
        <v>41</v>
      </c>
      <c r="V12" s="15" t="str">
        <f t="shared" si="3"/>
        <v>WO</v>
      </c>
      <c r="W12" s="15" t="s">
        <v>41</v>
      </c>
      <c r="X12" s="15" t="s">
        <v>41</v>
      </c>
      <c r="Y12" s="15" t="s">
        <v>41</v>
      </c>
      <c r="Z12" s="15" t="s">
        <v>41</v>
      </c>
      <c r="AA12" s="15" t="s">
        <v>41</v>
      </c>
      <c r="AB12" s="15" t="s">
        <v>41</v>
      </c>
      <c r="AC12" s="15" t="str">
        <f t="shared" si="4"/>
        <v>WO</v>
      </c>
      <c r="AD12" s="15" t="s">
        <v>41</v>
      </c>
      <c r="AE12" s="15" t="s">
        <v>41</v>
      </c>
      <c r="AF12" s="15" t="s">
        <v>41</v>
      </c>
      <c r="AG12" s="15" t="s">
        <v>41</v>
      </c>
      <c r="AH12" s="15" t="s">
        <v>41</v>
      </c>
      <c r="AI12" s="15" t="s">
        <v>41</v>
      </c>
      <c r="AJ12" s="15" t="str">
        <f t="shared" si="4"/>
        <v>WO</v>
      </c>
      <c r="AK12" s="15" t="s">
        <v>41</v>
      </c>
      <c r="AL12" s="15" t="s">
        <v>41</v>
      </c>
      <c r="AM12" s="16" t="s">
        <v>41</v>
      </c>
      <c r="AN12" s="41"/>
      <c r="AO12" s="41"/>
      <c r="AP12" s="30"/>
      <c r="AQ12" s="9">
        <v>6</v>
      </c>
      <c r="AR12" s="9" t="s">
        <v>8</v>
      </c>
      <c r="AS12" s="9" t="str">
        <f t="shared" si="5"/>
        <v>December</v>
      </c>
      <c r="AT12" s="10">
        <v>10006</v>
      </c>
      <c r="AU12" s="15">
        <f t="shared" si="6"/>
        <v>25</v>
      </c>
      <c r="AV12" s="15">
        <f t="shared" si="7"/>
        <v>1</v>
      </c>
      <c r="AW12" s="15">
        <f t="shared" si="8"/>
        <v>1</v>
      </c>
      <c r="AX12" s="15">
        <f t="shared" si="9"/>
        <v>4</v>
      </c>
      <c r="AY12" s="25">
        <f t="shared" si="10"/>
        <v>31</v>
      </c>
      <c r="AZ12" s="25">
        <f>JanReport24[[#This Row],[Days]]-JanReport24[[#This Row],[Abesent]]</f>
        <v>30</v>
      </c>
      <c r="BA12" s="26">
        <v>17000</v>
      </c>
      <c r="BB12" s="27">
        <f>JanReport24[[#This Row],[Salary]]/JanReport24[[#This Row],[Days]]</f>
        <v>548.38709677419354</v>
      </c>
      <c r="BC12" s="27">
        <f>JanReport24[[#This Row],[PerDaySalary]]*JanReport24[[#This Row],[Abesent]]</f>
        <v>548.38709677419354</v>
      </c>
      <c r="BD12" s="27">
        <f>JanReport24[[#This Row],[Salary]]-JanReport24[[#This Row],[Deduction]]</f>
        <v>16451.612903225807</v>
      </c>
      <c r="BE12" s="15"/>
      <c r="BF12" s="30"/>
      <c r="BG12" s="28"/>
      <c r="BH12" s="28"/>
      <c r="BI12" s="28"/>
    </row>
    <row r="13" spans="3:61" x14ac:dyDescent="0.3">
      <c r="C13" s="28"/>
      <c r="D13" s="40"/>
      <c r="E13" s="8">
        <v>7</v>
      </c>
      <c r="F13" s="9" t="s">
        <v>9</v>
      </c>
      <c r="G13" s="9">
        <v>10007</v>
      </c>
      <c r="H13" s="9">
        <f t="shared" si="2"/>
        <v>4</v>
      </c>
      <c r="I13" s="15" t="s">
        <v>41</v>
      </c>
      <c r="J13" s="15" t="s">
        <v>41</v>
      </c>
      <c r="K13" s="15" t="s">
        <v>41</v>
      </c>
      <c r="L13" s="15" t="s">
        <v>41</v>
      </c>
      <c r="M13" s="15" t="s">
        <v>41</v>
      </c>
      <c r="N13" s="15" t="s">
        <v>41</v>
      </c>
      <c r="O13" s="15" t="str">
        <f t="shared" si="3"/>
        <v>WO</v>
      </c>
      <c r="P13" s="15" t="s">
        <v>41</v>
      </c>
      <c r="Q13" s="15" t="s">
        <v>41</v>
      </c>
      <c r="R13" s="15" t="s">
        <v>41</v>
      </c>
      <c r="S13" s="15" t="s">
        <v>41</v>
      </c>
      <c r="T13" s="15" t="s">
        <v>41</v>
      </c>
      <c r="U13" s="15" t="s">
        <v>41</v>
      </c>
      <c r="V13" s="15" t="str">
        <f t="shared" si="3"/>
        <v>WO</v>
      </c>
      <c r="W13" s="15" t="s">
        <v>41</v>
      </c>
      <c r="X13" s="15" t="s">
        <v>41</v>
      </c>
      <c r="Y13" s="15" t="s">
        <v>41</v>
      </c>
      <c r="Z13" s="15" t="s">
        <v>41</v>
      </c>
      <c r="AA13" s="15" t="s">
        <v>41</v>
      </c>
      <c r="AB13" s="15" t="s">
        <v>41</v>
      </c>
      <c r="AC13" s="15" t="str">
        <f t="shared" si="4"/>
        <v>WO</v>
      </c>
      <c r="AD13" s="15" t="s">
        <v>41</v>
      </c>
      <c r="AE13" s="15" t="s">
        <v>41</v>
      </c>
      <c r="AF13" s="15" t="s">
        <v>41</v>
      </c>
      <c r="AG13" s="15" t="s">
        <v>41</v>
      </c>
      <c r="AH13" s="15" t="s">
        <v>41</v>
      </c>
      <c r="AI13" s="15" t="s">
        <v>41</v>
      </c>
      <c r="AJ13" s="15" t="str">
        <f t="shared" si="4"/>
        <v>WO</v>
      </c>
      <c r="AK13" s="15" t="s">
        <v>41</v>
      </c>
      <c r="AL13" s="15" t="s">
        <v>41</v>
      </c>
      <c r="AM13" s="16" t="s">
        <v>41</v>
      </c>
      <c r="AN13" s="41"/>
      <c r="AO13" s="41"/>
      <c r="AP13" s="30"/>
      <c r="AQ13" s="9">
        <v>7</v>
      </c>
      <c r="AR13" s="9" t="s">
        <v>9</v>
      </c>
      <c r="AS13" s="9" t="str">
        <f t="shared" si="5"/>
        <v>December</v>
      </c>
      <c r="AT13" s="10">
        <v>10007</v>
      </c>
      <c r="AU13" s="15">
        <f t="shared" si="6"/>
        <v>27</v>
      </c>
      <c r="AV13" s="15">
        <f t="shared" si="7"/>
        <v>0</v>
      </c>
      <c r="AW13" s="15">
        <f t="shared" si="8"/>
        <v>0</v>
      </c>
      <c r="AX13" s="15">
        <f t="shared" si="9"/>
        <v>4</v>
      </c>
      <c r="AY13" s="25">
        <f t="shared" si="10"/>
        <v>31</v>
      </c>
      <c r="AZ13" s="25">
        <f>JanReport24[[#This Row],[Days]]-JanReport24[[#This Row],[Abesent]]</f>
        <v>31</v>
      </c>
      <c r="BA13" s="26">
        <v>15000</v>
      </c>
      <c r="BB13" s="27">
        <f>JanReport24[[#This Row],[Salary]]/JanReport24[[#This Row],[Days]]</f>
        <v>483.87096774193549</v>
      </c>
      <c r="BC13" s="27">
        <f>JanReport24[[#This Row],[PerDaySalary]]*JanReport24[[#This Row],[Abesent]]</f>
        <v>0</v>
      </c>
      <c r="BD13" s="27">
        <f>JanReport24[[#This Row],[Salary]]-JanReport24[[#This Row],[Deduction]]</f>
        <v>15000</v>
      </c>
      <c r="BE13" s="15"/>
      <c r="BF13" s="30"/>
      <c r="BG13" s="28"/>
      <c r="BH13" s="28"/>
      <c r="BI13" s="28"/>
    </row>
    <row r="14" spans="3:61" x14ac:dyDescent="0.3">
      <c r="C14" s="28"/>
      <c r="D14" s="40"/>
      <c r="E14" s="8">
        <v>8</v>
      </c>
      <c r="F14" s="9" t="s">
        <v>10</v>
      </c>
      <c r="G14" s="9">
        <v>10008</v>
      </c>
      <c r="H14" s="9">
        <f t="shared" si="2"/>
        <v>4</v>
      </c>
      <c r="I14" s="15" t="s">
        <v>41</v>
      </c>
      <c r="J14" s="15" t="s">
        <v>41</v>
      </c>
      <c r="K14" s="15" t="s">
        <v>43</v>
      </c>
      <c r="L14" s="15" t="s">
        <v>41</v>
      </c>
      <c r="M14" s="15" t="s">
        <v>41</v>
      </c>
      <c r="N14" s="15" t="s">
        <v>41</v>
      </c>
      <c r="O14" s="15" t="str">
        <f t="shared" si="3"/>
        <v>WO</v>
      </c>
      <c r="P14" s="15" t="s">
        <v>42</v>
      </c>
      <c r="Q14" s="15" t="s">
        <v>41</v>
      </c>
      <c r="R14" s="15" t="s">
        <v>41</v>
      </c>
      <c r="S14" s="15" t="s">
        <v>41</v>
      </c>
      <c r="T14" s="15" t="s">
        <v>41</v>
      </c>
      <c r="U14" s="15" t="s">
        <v>41</v>
      </c>
      <c r="V14" s="15" t="str">
        <f t="shared" si="3"/>
        <v>WO</v>
      </c>
      <c r="W14" s="15" t="s">
        <v>41</v>
      </c>
      <c r="X14" s="15" t="s">
        <v>41</v>
      </c>
      <c r="Y14" s="15" t="s">
        <v>41</v>
      </c>
      <c r="Z14" s="15" t="s">
        <v>41</v>
      </c>
      <c r="AA14" s="15" t="s">
        <v>41</v>
      </c>
      <c r="AB14" s="15" t="s">
        <v>41</v>
      </c>
      <c r="AC14" s="15" t="str">
        <f t="shared" si="4"/>
        <v>WO</v>
      </c>
      <c r="AD14" s="15" t="s">
        <v>41</v>
      </c>
      <c r="AE14" s="15" t="s">
        <v>41</v>
      </c>
      <c r="AF14" s="15" t="s">
        <v>41</v>
      </c>
      <c r="AG14" s="15" t="s">
        <v>41</v>
      </c>
      <c r="AH14" s="15" t="s">
        <v>41</v>
      </c>
      <c r="AI14" s="15" t="s">
        <v>41</v>
      </c>
      <c r="AJ14" s="15" t="str">
        <f t="shared" si="4"/>
        <v>WO</v>
      </c>
      <c r="AK14" s="15" t="s">
        <v>41</v>
      </c>
      <c r="AL14" s="15" t="s">
        <v>41</v>
      </c>
      <c r="AM14" s="16" t="s">
        <v>41</v>
      </c>
      <c r="AN14" s="41"/>
      <c r="AO14" s="41"/>
      <c r="AP14" s="30"/>
      <c r="AQ14" s="9">
        <v>8</v>
      </c>
      <c r="AR14" s="9" t="s">
        <v>10</v>
      </c>
      <c r="AS14" s="9" t="str">
        <f t="shared" si="5"/>
        <v>December</v>
      </c>
      <c r="AT14" s="10">
        <v>10008</v>
      </c>
      <c r="AU14" s="15">
        <f t="shared" si="6"/>
        <v>25</v>
      </c>
      <c r="AV14" s="15">
        <f t="shared" si="7"/>
        <v>1</v>
      </c>
      <c r="AW14" s="15">
        <f t="shared" si="8"/>
        <v>1</v>
      </c>
      <c r="AX14" s="15">
        <f t="shared" si="9"/>
        <v>4</v>
      </c>
      <c r="AY14" s="25">
        <f t="shared" si="10"/>
        <v>31</v>
      </c>
      <c r="AZ14" s="25">
        <f>JanReport24[[#This Row],[Days]]-JanReport24[[#This Row],[Abesent]]</f>
        <v>30</v>
      </c>
      <c r="BA14" s="26">
        <v>21000</v>
      </c>
      <c r="BB14" s="27">
        <f>JanReport24[[#This Row],[Salary]]/JanReport24[[#This Row],[Days]]</f>
        <v>677.41935483870964</v>
      </c>
      <c r="BC14" s="27">
        <f>JanReport24[[#This Row],[PerDaySalary]]*JanReport24[[#This Row],[Abesent]]</f>
        <v>677.41935483870964</v>
      </c>
      <c r="BD14" s="27">
        <f>JanReport24[[#This Row],[Salary]]-JanReport24[[#This Row],[Deduction]]</f>
        <v>20322.580645161292</v>
      </c>
      <c r="BE14" s="15"/>
      <c r="BF14" s="30"/>
      <c r="BG14" s="28"/>
      <c r="BH14" s="28"/>
      <c r="BI14" s="28"/>
    </row>
    <row r="15" spans="3:61" x14ac:dyDescent="0.3">
      <c r="C15" s="28"/>
      <c r="D15" s="40"/>
      <c r="E15" s="8">
        <v>9</v>
      </c>
      <c r="F15" s="9" t="s">
        <v>11</v>
      </c>
      <c r="G15" s="9">
        <v>10009</v>
      </c>
      <c r="H15" s="9">
        <f t="shared" si="2"/>
        <v>4</v>
      </c>
      <c r="I15" s="15" t="s">
        <v>41</v>
      </c>
      <c r="J15" s="15" t="s">
        <v>41</v>
      </c>
      <c r="K15" s="15" t="s">
        <v>41</v>
      </c>
      <c r="L15" s="15" t="s">
        <v>41</v>
      </c>
      <c r="M15" s="15" t="s">
        <v>41</v>
      </c>
      <c r="N15" s="15" t="s">
        <v>41</v>
      </c>
      <c r="O15" s="15" t="str">
        <f t="shared" si="3"/>
        <v>WO</v>
      </c>
      <c r="P15" s="15" t="s">
        <v>41</v>
      </c>
      <c r="Q15" s="15" t="s">
        <v>41</v>
      </c>
      <c r="R15" s="15" t="s">
        <v>41</v>
      </c>
      <c r="S15" s="15" t="s">
        <v>41</v>
      </c>
      <c r="T15" s="15" t="s">
        <v>41</v>
      </c>
      <c r="U15" s="15" t="s">
        <v>41</v>
      </c>
      <c r="V15" s="15" t="str">
        <f t="shared" si="3"/>
        <v>WO</v>
      </c>
      <c r="W15" s="15" t="s">
        <v>41</v>
      </c>
      <c r="X15" s="15" t="s">
        <v>43</v>
      </c>
      <c r="Y15" s="15" t="s">
        <v>41</v>
      </c>
      <c r="Z15" s="15" t="s">
        <v>41</v>
      </c>
      <c r="AA15" s="15" t="s">
        <v>41</v>
      </c>
      <c r="AB15" s="15" t="s">
        <v>41</v>
      </c>
      <c r="AC15" s="15" t="str">
        <f t="shared" si="4"/>
        <v>WO</v>
      </c>
      <c r="AD15" s="15" t="s">
        <v>41</v>
      </c>
      <c r="AE15" s="15" t="s">
        <v>41</v>
      </c>
      <c r="AF15" s="15" t="s">
        <v>41</v>
      </c>
      <c r="AG15" s="15" t="s">
        <v>41</v>
      </c>
      <c r="AH15" s="15" t="s">
        <v>41</v>
      </c>
      <c r="AI15" s="15" t="s">
        <v>41</v>
      </c>
      <c r="AJ15" s="15" t="str">
        <f t="shared" si="4"/>
        <v>WO</v>
      </c>
      <c r="AK15" s="15" t="s">
        <v>41</v>
      </c>
      <c r="AL15" s="15" t="s">
        <v>41</v>
      </c>
      <c r="AM15" s="16" t="s">
        <v>41</v>
      </c>
      <c r="AN15" s="41"/>
      <c r="AO15" s="41"/>
      <c r="AP15" s="30"/>
      <c r="AQ15" s="9">
        <v>9</v>
      </c>
      <c r="AR15" s="9" t="s">
        <v>11</v>
      </c>
      <c r="AS15" s="9" t="str">
        <f t="shared" si="5"/>
        <v>December</v>
      </c>
      <c r="AT15" s="10">
        <v>10009</v>
      </c>
      <c r="AU15" s="15">
        <f t="shared" si="6"/>
        <v>26</v>
      </c>
      <c r="AV15" s="15">
        <f t="shared" si="7"/>
        <v>0</v>
      </c>
      <c r="AW15" s="15">
        <f t="shared" si="8"/>
        <v>1</v>
      </c>
      <c r="AX15" s="15">
        <f t="shared" si="9"/>
        <v>4</v>
      </c>
      <c r="AY15" s="25">
        <f t="shared" si="10"/>
        <v>31</v>
      </c>
      <c r="AZ15" s="25">
        <f>JanReport24[[#This Row],[Days]]-JanReport24[[#This Row],[Abesent]]</f>
        <v>31</v>
      </c>
      <c r="BA15" s="26">
        <v>22000</v>
      </c>
      <c r="BB15" s="27">
        <f>JanReport24[[#This Row],[Salary]]/JanReport24[[#This Row],[Days]]</f>
        <v>709.67741935483866</v>
      </c>
      <c r="BC15" s="27">
        <f>JanReport24[[#This Row],[PerDaySalary]]*JanReport24[[#This Row],[Abesent]]</f>
        <v>0</v>
      </c>
      <c r="BD15" s="27">
        <f>JanReport24[[#This Row],[Salary]]-JanReport24[[#This Row],[Deduction]]</f>
        <v>22000</v>
      </c>
      <c r="BE15" s="15"/>
      <c r="BF15" s="30"/>
      <c r="BG15" s="28"/>
      <c r="BH15" s="28"/>
      <c r="BI15" s="28"/>
    </row>
    <row r="16" spans="3:61" x14ac:dyDescent="0.3">
      <c r="C16" s="28"/>
      <c r="D16" s="40"/>
      <c r="E16" s="8">
        <v>10</v>
      </c>
      <c r="F16" s="9" t="s">
        <v>12</v>
      </c>
      <c r="G16" s="9">
        <v>10010</v>
      </c>
      <c r="H16" s="9">
        <f t="shared" si="2"/>
        <v>4</v>
      </c>
      <c r="I16" s="15" t="s">
        <v>41</v>
      </c>
      <c r="J16" s="15" t="s">
        <v>41</v>
      </c>
      <c r="K16" s="15" t="s">
        <v>41</v>
      </c>
      <c r="L16" s="15" t="s">
        <v>42</v>
      </c>
      <c r="M16" s="15" t="s">
        <v>41</v>
      </c>
      <c r="N16" s="15" t="s">
        <v>41</v>
      </c>
      <c r="O16" s="15" t="str">
        <f t="shared" si="3"/>
        <v>WO</v>
      </c>
      <c r="P16" s="15" t="s">
        <v>41</v>
      </c>
      <c r="Q16" s="15" t="s">
        <v>41</v>
      </c>
      <c r="R16" s="15" t="s">
        <v>41</v>
      </c>
      <c r="S16" s="15" t="s">
        <v>41</v>
      </c>
      <c r="T16" s="15" t="s">
        <v>41</v>
      </c>
      <c r="U16" s="15" t="s">
        <v>41</v>
      </c>
      <c r="V16" s="15" t="str">
        <f t="shared" si="3"/>
        <v>WO</v>
      </c>
      <c r="W16" s="15" t="s">
        <v>41</v>
      </c>
      <c r="X16" s="15" t="s">
        <v>41</v>
      </c>
      <c r="Y16" s="15" t="s">
        <v>41</v>
      </c>
      <c r="Z16" s="15" t="s">
        <v>41</v>
      </c>
      <c r="AA16" s="15" t="s">
        <v>41</v>
      </c>
      <c r="AB16" s="15" t="s">
        <v>41</v>
      </c>
      <c r="AC16" s="15" t="str">
        <f t="shared" si="4"/>
        <v>WO</v>
      </c>
      <c r="AD16" s="15" t="s">
        <v>41</v>
      </c>
      <c r="AE16" s="15" t="s">
        <v>41</v>
      </c>
      <c r="AF16" s="15" t="s">
        <v>41</v>
      </c>
      <c r="AG16" s="15" t="s">
        <v>41</v>
      </c>
      <c r="AH16" s="15" t="s">
        <v>41</v>
      </c>
      <c r="AI16" s="15" t="s">
        <v>41</v>
      </c>
      <c r="AJ16" s="15" t="str">
        <f t="shared" si="4"/>
        <v>WO</v>
      </c>
      <c r="AK16" s="15" t="s">
        <v>41</v>
      </c>
      <c r="AL16" s="15" t="s">
        <v>41</v>
      </c>
      <c r="AM16" s="16" t="s">
        <v>43</v>
      </c>
      <c r="AN16" s="41"/>
      <c r="AO16" s="41"/>
      <c r="AP16" s="30"/>
      <c r="AQ16" s="9">
        <v>10</v>
      </c>
      <c r="AR16" s="9" t="s">
        <v>12</v>
      </c>
      <c r="AS16" s="9" t="str">
        <f t="shared" si="5"/>
        <v>December</v>
      </c>
      <c r="AT16" s="10">
        <v>10010</v>
      </c>
      <c r="AU16" s="15">
        <f t="shared" si="6"/>
        <v>25</v>
      </c>
      <c r="AV16" s="15">
        <f t="shared" si="7"/>
        <v>1</v>
      </c>
      <c r="AW16" s="15">
        <f t="shared" si="8"/>
        <v>1</v>
      </c>
      <c r="AX16" s="15">
        <f t="shared" si="9"/>
        <v>4</v>
      </c>
      <c r="AY16" s="25">
        <f t="shared" si="10"/>
        <v>31</v>
      </c>
      <c r="AZ16" s="25">
        <f>JanReport24[[#This Row],[Days]]-JanReport24[[#This Row],[Abesent]]</f>
        <v>30</v>
      </c>
      <c r="BA16" s="26">
        <v>25000</v>
      </c>
      <c r="BB16" s="27">
        <f>JanReport24[[#This Row],[Salary]]/JanReport24[[#This Row],[Days]]</f>
        <v>806.45161290322585</v>
      </c>
      <c r="BC16" s="27">
        <f>JanReport24[[#This Row],[PerDaySalary]]*JanReport24[[#This Row],[Abesent]]</f>
        <v>806.45161290322585</v>
      </c>
      <c r="BD16" s="27">
        <f>JanReport24[[#This Row],[Salary]]-JanReport24[[#This Row],[Deduction]]</f>
        <v>24193.548387096773</v>
      </c>
      <c r="BE16" s="15"/>
      <c r="BF16" s="30"/>
      <c r="BG16" s="28"/>
      <c r="BH16" s="28"/>
      <c r="BI16" s="28"/>
    </row>
    <row r="17" spans="1:61" x14ac:dyDescent="0.3">
      <c r="C17" s="28"/>
      <c r="D17" s="40"/>
      <c r="E17" s="8">
        <v>11</v>
      </c>
      <c r="F17" s="9" t="s">
        <v>13</v>
      </c>
      <c r="G17" s="9">
        <v>10011</v>
      </c>
      <c r="H17" s="9">
        <f t="shared" si="2"/>
        <v>4</v>
      </c>
      <c r="I17" s="15" t="s">
        <v>41</v>
      </c>
      <c r="J17" s="15" t="s">
        <v>42</v>
      </c>
      <c r="K17" s="15" t="s">
        <v>41</v>
      </c>
      <c r="L17" s="15" t="s">
        <v>41</v>
      </c>
      <c r="M17" s="15" t="s">
        <v>41</v>
      </c>
      <c r="N17" s="15" t="s">
        <v>41</v>
      </c>
      <c r="O17" s="15" t="str">
        <f t="shared" si="3"/>
        <v>WO</v>
      </c>
      <c r="P17" s="15" t="s">
        <v>41</v>
      </c>
      <c r="Q17" s="15" t="s">
        <v>41</v>
      </c>
      <c r="R17" s="15" t="s">
        <v>41</v>
      </c>
      <c r="S17" s="15" t="s">
        <v>41</v>
      </c>
      <c r="T17" s="15" t="s">
        <v>43</v>
      </c>
      <c r="U17" s="15" t="s">
        <v>41</v>
      </c>
      <c r="V17" s="15" t="str">
        <f t="shared" si="3"/>
        <v>WO</v>
      </c>
      <c r="W17" s="15" t="s">
        <v>41</v>
      </c>
      <c r="X17" s="15" t="s">
        <v>42</v>
      </c>
      <c r="Y17" s="15" t="s">
        <v>41</v>
      </c>
      <c r="Z17" s="15" t="s">
        <v>41</v>
      </c>
      <c r="AA17" s="15" t="s">
        <v>41</v>
      </c>
      <c r="AB17" s="15" t="s">
        <v>41</v>
      </c>
      <c r="AC17" s="15" t="str">
        <f t="shared" si="4"/>
        <v>WO</v>
      </c>
      <c r="AD17" s="15" t="s">
        <v>41</v>
      </c>
      <c r="AE17" s="15" t="s">
        <v>41</v>
      </c>
      <c r="AF17" s="15" t="s">
        <v>41</v>
      </c>
      <c r="AG17" s="15" t="s">
        <v>43</v>
      </c>
      <c r="AH17" s="15" t="s">
        <v>41</v>
      </c>
      <c r="AI17" s="15" t="s">
        <v>41</v>
      </c>
      <c r="AJ17" s="15" t="str">
        <f t="shared" si="4"/>
        <v>WO</v>
      </c>
      <c r="AK17" s="15" t="s">
        <v>41</v>
      </c>
      <c r="AL17" s="15" t="s">
        <v>41</v>
      </c>
      <c r="AM17" s="16" t="s">
        <v>41</v>
      </c>
      <c r="AN17" s="41"/>
      <c r="AO17" s="41"/>
      <c r="AP17" s="30"/>
      <c r="AQ17" s="9">
        <v>11</v>
      </c>
      <c r="AR17" s="9" t="s">
        <v>13</v>
      </c>
      <c r="AS17" s="9" t="str">
        <f t="shared" si="5"/>
        <v>December</v>
      </c>
      <c r="AT17" s="10">
        <v>10011</v>
      </c>
      <c r="AU17" s="15">
        <f t="shared" si="6"/>
        <v>23</v>
      </c>
      <c r="AV17" s="15">
        <f t="shared" si="7"/>
        <v>2</v>
      </c>
      <c r="AW17" s="15">
        <f t="shared" si="8"/>
        <v>2</v>
      </c>
      <c r="AX17" s="15">
        <f t="shared" si="9"/>
        <v>4</v>
      </c>
      <c r="AY17" s="25">
        <f t="shared" si="10"/>
        <v>31</v>
      </c>
      <c r="AZ17" s="25">
        <f>JanReport24[[#This Row],[Days]]-JanReport24[[#This Row],[Abesent]]</f>
        <v>29</v>
      </c>
      <c r="BA17" s="26">
        <v>15000</v>
      </c>
      <c r="BB17" s="27">
        <f>JanReport24[[#This Row],[Salary]]/JanReport24[[#This Row],[Days]]</f>
        <v>483.87096774193549</v>
      </c>
      <c r="BC17" s="27">
        <f>JanReport24[[#This Row],[PerDaySalary]]*JanReport24[[#This Row],[Abesent]]</f>
        <v>967.74193548387098</v>
      </c>
      <c r="BD17" s="27">
        <f>JanReport24[[#This Row],[Salary]]-JanReport24[[#This Row],[Deduction]]</f>
        <v>14032.258064516129</v>
      </c>
      <c r="BE17" s="15"/>
      <c r="BF17" s="30"/>
      <c r="BG17" s="28"/>
      <c r="BH17" s="28"/>
      <c r="BI17" s="28"/>
    </row>
    <row r="18" spans="1:61" x14ac:dyDescent="0.3">
      <c r="C18" s="28"/>
      <c r="D18" s="40"/>
      <c r="E18" s="8">
        <v>12</v>
      </c>
      <c r="F18" s="9" t="s">
        <v>14</v>
      </c>
      <c r="G18" s="9">
        <v>10012</v>
      </c>
      <c r="H18" s="9">
        <f t="shared" si="2"/>
        <v>4</v>
      </c>
      <c r="I18" s="15" t="s">
        <v>41</v>
      </c>
      <c r="J18" s="15" t="s">
        <v>41</v>
      </c>
      <c r="K18" s="15" t="s">
        <v>41</v>
      </c>
      <c r="L18" s="15" t="s">
        <v>41</v>
      </c>
      <c r="M18" s="15" t="s">
        <v>41</v>
      </c>
      <c r="N18" s="15" t="s">
        <v>41</v>
      </c>
      <c r="O18" s="15" t="str">
        <f t="shared" si="3"/>
        <v>WO</v>
      </c>
      <c r="P18" s="15" t="s">
        <v>41</v>
      </c>
      <c r="Q18" s="15" t="s">
        <v>41</v>
      </c>
      <c r="R18" s="15" t="s">
        <v>41</v>
      </c>
      <c r="S18" s="15" t="s">
        <v>41</v>
      </c>
      <c r="T18" s="15" t="s">
        <v>41</v>
      </c>
      <c r="U18" s="15" t="s">
        <v>41</v>
      </c>
      <c r="V18" s="15" t="str">
        <f t="shared" si="3"/>
        <v>WO</v>
      </c>
      <c r="W18" s="15" t="s">
        <v>41</v>
      </c>
      <c r="X18" s="15" t="s">
        <v>41</v>
      </c>
      <c r="Y18" s="15" t="s">
        <v>41</v>
      </c>
      <c r="Z18" s="15" t="s">
        <v>41</v>
      </c>
      <c r="AA18" s="15" t="s">
        <v>41</v>
      </c>
      <c r="AB18" s="15" t="s">
        <v>41</v>
      </c>
      <c r="AC18" s="15" t="str">
        <f t="shared" si="4"/>
        <v>WO</v>
      </c>
      <c r="AD18" s="15" t="s">
        <v>41</v>
      </c>
      <c r="AE18" s="15" t="s">
        <v>41</v>
      </c>
      <c r="AF18" s="15" t="s">
        <v>41</v>
      </c>
      <c r="AG18" s="15" t="s">
        <v>41</v>
      </c>
      <c r="AH18" s="15" t="s">
        <v>41</v>
      </c>
      <c r="AI18" s="15" t="s">
        <v>41</v>
      </c>
      <c r="AJ18" s="15" t="str">
        <f t="shared" si="4"/>
        <v>WO</v>
      </c>
      <c r="AK18" s="15" t="s">
        <v>41</v>
      </c>
      <c r="AL18" s="15" t="s">
        <v>41</v>
      </c>
      <c r="AM18" s="16" t="s">
        <v>41</v>
      </c>
      <c r="AN18" s="41"/>
      <c r="AO18" s="41"/>
      <c r="AP18" s="30"/>
      <c r="AQ18" s="9">
        <v>12</v>
      </c>
      <c r="AR18" s="9" t="s">
        <v>14</v>
      </c>
      <c r="AS18" s="9" t="str">
        <f t="shared" si="5"/>
        <v>December</v>
      </c>
      <c r="AT18" s="10">
        <v>10012</v>
      </c>
      <c r="AU18" s="15">
        <f t="shared" si="6"/>
        <v>27</v>
      </c>
      <c r="AV18" s="15">
        <f t="shared" si="7"/>
        <v>0</v>
      </c>
      <c r="AW18" s="15">
        <f t="shared" si="8"/>
        <v>0</v>
      </c>
      <c r="AX18" s="15">
        <f t="shared" si="9"/>
        <v>4</v>
      </c>
      <c r="AY18" s="25">
        <f t="shared" si="10"/>
        <v>31</v>
      </c>
      <c r="AZ18" s="25">
        <f>JanReport24[[#This Row],[Days]]-JanReport24[[#This Row],[Abesent]]</f>
        <v>31</v>
      </c>
      <c r="BA18" s="26">
        <v>19000</v>
      </c>
      <c r="BB18" s="27">
        <f>JanReport24[[#This Row],[Salary]]/JanReport24[[#This Row],[Days]]</f>
        <v>612.90322580645159</v>
      </c>
      <c r="BC18" s="27">
        <f>JanReport24[[#This Row],[PerDaySalary]]*JanReport24[[#This Row],[Abesent]]</f>
        <v>0</v>
      </c>
      <c r="BD18" s="27">
        <f>JanReport24[[#This Row],[Salary]]-JanReport24[[#This Row],[Deduction]]</f>
        <v>19000</v>
      </c>
      <c r="BE18" s="15"/>
      <c r="BF18" s="30"/>
      <c r="BG18" s="28"/>
      <c r="BH18" s="28"/>
      <c r="BI18" s="28"/>
    </row>
    <row r="19" spans="1:61" x14ac:dyDescent="0.3">
      <c r="C19" s="28"/>
      <c r="D19" s="40"/>
      <c r="E19" s="8">
        <v>13</v>
      </c>
      <c r="F19" s="9" t="s">
        <v>15</v>
      </c>
      <c r="G19" s="9">
        <v>10013</v>
      </c>
      <c r="H19" s="9">
        <f t="shared" si="2"/>
        <v>4</v>
      </c>
      <c r="I19" s="15" t="s">
        <v>41</v>
      </c>
      <c r="J19" s="15" t="s">
        <v>41</v>
      </c>
      <c r="K19" s="15" t="s">
        <v>41</v>
      </c>
      <c r="L19" s="15" t="s">
        <v>41</v>
      </c>
      <c r="M19" s="15" t="s">
        <v>41</v>
      </c>
      <c r="N19" s="15" t="s">
        <v>41</v>
      </c>
      <c r="O19" s="15" t="str">
        <f t="shared" si="3"/>
        <v>WO</v>
      </c>
      <c r="P19" s="15" t="s">
        <v>41</v>
      </c>
      <c r="Q19" s="15" t="s">
        <v>41</v>
      </c>
      <c r="R19" s="15" t="s">
        <v>41</v>
      </c>
      <c r="S19" s="15" t="s">
        <v>42</v>
      </c>
      <c r="T19" s="15" t="s">
        <v>41</v>
      </c>
      <c r="U19" s="15" t="s">
        <v>41</v>
      </c>
      <c r="V19" s="15" t="str">
        <f t="shared" si="3"/>
        <v>WO</v>
      </c>
      <c r="W19" s="15" t="s">
        <v>41</v>
      </c>
      <c r="X19" s="15" t="s">
        <v>41</v>
      </c>
      <c r="Y19" s="15" t="s">
        <v>41</v>
      </c>
      <c r="Z19" s="15" t="s">
        <v>41</v>
      </c>
      <c r="AA19" s="15" t="s">
        <v>41</v>
      </c>
      <c r="AB19" s="15" t="s">
        <v>41</v>
      </c>
      <c r="AC19" s="15" t="str">
        <f t="shared" si="4"/>
        <v>WO</v>
      </c>
      <c r="AD19" s="15" t="s">
        <v>41</v>
      </c>
      <c r="AE19" s="15" t="s">
        <v>41</v>
      </c>
      <c r="AF19" s="15" t="s">
        <v>42</v>
      </c>
      <c r="AG19" s="15" t="s">
        <v>41</v>
      </c>
      <c r="AH19" s="15" t="s">
        <v>41</v>
      </c>
      <c r="AI19" s="15" t="s">
        <v>41</v>
      </c>
      <c r="AJ19" s="15" t="str">
        <f t="shared" si="4"/>
        <v>WO</v>
      </c>
      <c r="AK19" s="15" t="s">
        <v>41</v>
      </c>
      <c r="AL19" s="15" t="s">
        <v>41</v>
      </c>
      <c r="AM19" s="16" t="s">
        <v>41</v>
      </c>
      <c r="AN19" s="41"/>
      <c r="AO19" s="41"/>
      <c r="AP19" s="30"/>
      <c r="AQ19" s="9">
        <v>13</v>
      </c>
      <c r="AR19" s="9" t="s">
        <v>15</v>
      </c>
      <c r="AS19" s="9" t="str">
        <f t="shared" si="5"/>
        <v>December</v>
      </c>
      <c r="AT19" s="10">
        <v>10013</v>
      </c>
      <c r="AU19" s="15">
        <f t="shared" si="6"/>
        <v>25</v>
      </c>
      <c r="AV19" s="15">
        <f t="shared" si="7"/>
        <v>2</v>
      </c>
      <c r="AW19" s="15">
        <f t="shared" si="8"/>
        <v>0</v>
      </c>
      <c r="AX19" s="15">
        <f t="shared" si="9"/>
        <v>4</v>
      </c>
      <c r="AY19" s="25">
        <f t="shared" si="10"/>
        <v>31</v>
      </c>
      <c r="AZ19" s="25">
        <f>JanReport24[[#This Row],[Days]]-JanReport24[[#This Row],[Abesent]]</f>
        <v>29</v>
      </c>
      <c r="BA19" s="26">
        <v>20000</v>
      </c>
      <c r="BB19" s="27">
        <f>JanReport24[[#This Row],[Salary]]/JanReport24[[#This Row],[Days]]</f>
        <v>645.16129032258061</v>
      </c>
      <c r="BC19" s="27">
        <f>JanReport24[[#This Row],[PerDaySalary]]*JanReport24[[#This Row],[Abesent]]</f>
        <v>1290.3225806451612</v>
      </c>
      <c r="BD19" s="27">
        <f>JanReport24[[#This Row],[Salary]]-JanReport24[[#This Row],[Deduction]]</f>
        <v>18709.677419354837</v>
      </c>
      <c r="BE19" s="15"/>
      <c r="BF19" s="30"/>
      <c r="BG19" s="28"/>
      <c r="BH19" s="28"/>
      <c r="BI19" s="28"/>
    </row>
    <row r="20" spans="1:61" x14ac:dyDescent="0.3">
      <c r="C20" s="28"/>
      <c r="D20" s="40"/>
      <c r="E20" s="8">
        <v>14</v>
      </c>
      <c r="F20" s="9" t="s">
        <v>16</v>
      </c>
      <c r="G20" s="9">
        <v>10014</v>
      </c>
      <c r="H20" s="9">
        <f t="shared" si="2"/>
        <v>4</v>
      </c>
      <c r="I20" s="15" t="s">
        <v>41</v>
      </c>
      <c r="J20" s="15" t="s">
        <v>41</v>
      </c>
      <c r="K20" s="15" t="s">
        <v>41</v>
      </c>
      <c r="L20" s="15" t="s">
        <v>41</v>
      </c>
      <c r="M20" s="15" t="s">
        <v>41</v>
      </c>
      <c r="N20" s="15" t="s">
        <v>41</v>
      </c>
      <c r="O20" s="15" t="str">
        <f t="shared" si="3"/>
        <v>WO</v>
      </c>
      <c r="P20" s="15" t="s">
        <v>41</v>
      </c>
      <c r="Q20" s="15" t="s">
        <v>41</v>
      </c>
      <c r="R20" s="15" t="s">
        <v>41</v>
      </c>
      <c r="S20" s="15" t="s">
        <v>41</v>
      </c>
      <c r="T20" s="15" t="s">
        <v>41</v>
      </c>
      <c r="U20" s="15" t="s">
        <v>41</v>
      </c>
      <c r="V20" s="15" t="str">
        <f t="shared" si="3"/>
        <v>WO</v>
      </c>
      <c r="W20" s="15" t="s">
        <v>41</v>
      </c>
      <c r="X20" s="15" t="s">
        <v>41</v>
      </c>
      <c r="Y20" s="15" t="s">
        <v>41</v>
      </c>
      <c r="Z20" s="15" t="s">
        <v>41</v>
      </c>
      <c r="AA20" s="15" t="s">
        <v>42</v>
      </c>
      <c r="AB20" s="15" t="s">
        <v>41</v>
      </c>
      <c r="AC20" s="15" t="str">
        <f t="shared" si="4"/>
        <v>WO</v>
      </c>
      <c r="AD20" s="15" t="s">
        <v>41</v>
      </c>
      <c r="AE20" s="15" t="s">
        <v>41</v>
      </c>
      <c r="AF20" s="15" t="s">
        <v>41</v>
      </c>
      <c r="AG20" s="15" t="s">
        <v>41</v>
      </c>
      <c r="AH20" s="15" t="s">
        <v>41</v>
      </c>
      <c r="AI20" s="15" t="s">
        <v>41</v>
      </c>
      <c r="AJ20" s="15" t="str">
        <f t="shared" si="4"/>
        <v>WO</v>
      </c>
      <c r="AK20" s="15" t="s">
        <v>41</v>
      </c>
      <c r="AL20" s="15" t="s">
        <v>41</v>
      </c>
      <c r="AM20" s="16" t="s">
        <v>41</v>
      </c>
      <c r="AN20" s="41"/>
      <c r="AO20" s="41"/>
      <c r="AP20" s="30"/>
      <c r="AQ20" s="9">
        <v>14</v>
      </c>
      <c r="AR20" s="9" t="s">
        <v>16</v>
      </c>
      <c r="AS20" s="9" t="str">
        <f t="shared" si="5"/>
        <v>December</v>
      </c>
      <c r="AT20" s="10">
        <v>10014</v>
      </c>
      <c r="AU20" s="15">
        <f t="shared" si="6"/>
        <v>26</v>
      </c>
      <c r="AV20" s="15">
        <f t="shared" si="7"/>
        <v>1</v>
      </c>
      <c r="AW20" s="15">
        <f t="shared" si="8"/>
        <v>0</v>
      </c>
      <c r="AX20" s="15">
        <f t="shared" si="9"/>
        <v>4</v>
      </c>
      <c r="AY20" s="25">
        <f t="shared" si="10"/>
        <v>31</v>
      </c>
      <c r="AZ20" s="25">
        <f>JanReport24[[#This Row],[Days]]-JanReport24[[#This Row],[Abesent]]</f>
        <v>30</v>
      </c>
      <c r="BA20" s="26">
        <v>19000</v>
      </c>
      <c r="BB20" s="27">
        <f>JanReport24[[#This Row],[Salary]]/JanReport24[[#This Row],[Days]]</f>
        <v>612.90322580645159</v>
      </c>
      <c r="BC20" s="27">
        <f>JanReport24[[#This Row],[PerDaySalary]]*JanReport24[[#This Row],[Abesent]]</f>
        <v>612.90322580645159</v>
      </c>
      <c r="BD20" s="27">
        <f>JanReport24[[#This Row],[Salary]]-JanReport24[[#This Row],[Deduction]]</f>
        <v>18387.096774193549</v>
      </c>
      <c r="BE20" s="15"/>
      <c r="BF20" s="30"/>
      <c r="BG20" s="28"/>
      <c r="BH20" s="28"/>
      <c r="BI20" s="28"/>
    </row>
    <row r="21" spans="1:61" x14ac:dyDescent="0.3">
      <c r="C21" s="28"/>
      <c r="D21" s="40"/>
      <c r="E21" s="8">
        <v>15</v>
      </c>
      <c r="F21" s="9" t="s">
        <v>17</v>
      </c>
      <c r="G21" s="9">
        <v>10015</v>
      </c>
      <c r="H21" s="9">
        <f t="shared" si="2"/>
        <v>4</v>
      </c>
      <c r="I21" s="15" t="s">
        <v>41</v>
      </c>
      <c r="J21" s="15" t="s">
        <v>41</v>
      </c>
      <c r="K21" s="15" t="s">
        <v>41</v>
      </c>
      <c r="L21" s="15" t="s">
        <v>41</v>
      </c>
      <c r="M21" s="15" t="s">
        <v>43</v>
      </c>
      <c r="N21" s="15" t="s">
        <v>41</v>
      </c>
      <c r="O21" s="15" t="str">
        <f t="shared" si="3"/>
        <v>WO</v>
      </c>
      <c r="P21" s="15" t="s">
        <v>41</v>
      </c>
      <c r="Q21" s="15" t="s">
        <v>41</v>
      </c>
      <c r="R21" s="15" t="s">
        <v>41</v>
      </c>
      <c r="S21" s="15" t="s">
        <v>41</v>
      </c>
      <c r="T21" s="15" t="s">
        <v>41</v>
      </c>
      <c r="U21" s="15" t="s">
        <v>41</v>
      </c>
      <c r="V21" s="15" t="str">
        <f t="shared" si="3"/>
        <v>WO</v>
      </c>
      <c r="W21" s="15" t="s">
        <v>41</v>
      </c>
      <c r="X21" s="15" t="s">
        <v>41</v>
      </c>
      <c r="Y21" s="15" t="s">
        <v>41</v>
      </c>
      <c r="Z21" s="15" t="s">
        <v>41</v>
      </c>
      <c r="AA21" s="15" t="s">
        <v>41</v>
      </c>
      <c r="AB21" s="15" t="s">
        <v>41</v>
      </c>
      <c r="AC21" s="15" t="str">
        <f t="shared" si="4"/>
        <v>WO</v>
      </c>
      <c r="AD21" s="15" t="s">
        <v>41</v>
      </c>
      <c r="AE21" s="15" t="s">
        <v>41</v>
      </c>
      <c r="AF21" s="15" t="s">
        <v>41</v>
      </c>
      <c r="AG21" s="15" t="s">
        <v>41</v>
      </c>
      <c r="AH21" s="15" t="s">
        <v>41</v>
      </c>
      <c r="AI21" s="15" t="s">
        <v>41</v>
      </c>
      <c r="AJ21" s="15" t="str">
        <f t="shared" si="4"/>
        <v>WO</v>
      </c>
      <c r="AK21" s="15" t="s">
        <v>41</v>
      </c>
      <c r="AL21" s="15" t="s">
        <v>41</v>
      </c>
      <c r="AM21" s="16" t="s">
        <v>42</v>
      </c>
      <c r="AN21" s="41"/>
      <c r="AO21" s="41"/>
      <c r="AP21" s="30"/>
      <c r="AQ21" s="9">
        <v>15</v>
      </c>
      <c r="AR21" s="9" t="s">
        <v>17</v>
      </c>
      <c r="AS21" s="9" t="str">
        <f t="shared" si="5"/>
        <v>December</v>
      </c>
      <c r="AT21" s="10">
        <v>10015</v>
      </c>
      <c r="AU21" s="15">
        <f t="shared" si="6"/>
        <v>25</v>
      </c>
      <c r="AV21" s="15">
        <f t="shared" si="7"/>
        <v>1</v>
      </c>
      <c r="AW21" s="15">
        <f t="shared" si="8"/>
        <v>1</v>
      </c>
      <c r="AX21" s="15">
        <f t="shared" si="9"/>
        <v>4</v>
      </c>
      <c r="AY21" s="25">
        <f t="shared" si="10"/>
        <v>31</v>
      </c>
      <c r="AZ21" s="25">
        <f>JanReport24[[#This Row],[Days]]-JanReport24[[#This Row],[Abesent]]</f>
        <v>30</v>
      </c>
      <c r="BA21" s="26">
        <v>25000</v>
      </c>
      <c r="BB21" s="27">
        <f>JanReport24[[#This Row],[Salary]]/JanReport24[[#This Row],[Days]]</f>
        <v>806.45161290322585</v>
      </c>
      <c r="BC21" s="27">
        <f>JanReport24[[#This Row],[PerDaySalary]]*JanReport24[[#This Row],[Abesent]]</f>
        <v>806.45161290322585</v>
      </c>
      <c r="BD21" s="27">
        <f>JanReport24[[#This Row],[Salary]]-JanReport24[[#This Row],[Deduction]]</f>
        <v>24193.548387096773</v>
      </c>
      <c r="BE21" s="15"/>
      <c r="BF21" s="30"/>
      <c r="BG21" s="28"/>
      <c r="BH21" s="28"/>
      <c r="BI21" s="28"/>
    </row>
    <row r="22" spans="1:61" x14ac:dyDescent="0.3">
      <c r="C22" s="28"/>
      <c r="D22" s="40"/>
      <c r="E22" s="8">
        <v>16</v>
      </c>
      <c r="F22" s="9" t="s">
        <v>18</v>
      </c>
      <c r="G22" s="9">
        <v>10016</v>
      </c>
      <c r="H22" s="9">
        <f t="shared" si="2"/>
        <v>4</v>
      </c>
      <c r="I22" s="15" t="s">
        <v>42</v>
      </c>
      <c r="J22" s="15" t="s">
        <v>41</v>
      </c>
      <c r="K22" s="15" t="s">
        <v>42</v>
      </c>
      <c r="L22" s="15" t="s">
        <v>41</v>
      </c>
      <c r="M22" s="15" t="s">
        <v>41</v>
      </c>
      <c r="N22" s="15" t="s">
        <v>41</v>
      </c>
      <c r="O22" s="15" t="str">
        <f t="shared" si="3"/>
        <v>WO</v>
      </c>
      <c r="P22" s="15" t="s">
        <v>41</v>
      </c>
      <c r="Q22" s="15" t="s">
        <v>41</v>
      </c>
      <c r="R22" s="15" t="s">
        <v>42</v>
      </c>
      <c r="S22" s="15" t="s">
        <v>41</v>
      </c>
      <c r="T22" s="15" t="s">
        <v>41</v>
      </c>
      <c r="U22" s="15" t="s">
        <v>41</v>
      </c>
      <c r="V22" s="15" t="str">
        <f t="shared" si="3"/>
        <v>WO</v>
      </c>
      <c r="W22" s="15" t="s">
        <v>41</v>
      </c>
      <c r="X22" s="15" t="s">
        <v>41</v>
      </c>
      <c r="Y22" s="15" t="s">
        <v>41</v>
      </c>
      <c r="Z22" s="15" t="s">
        <v>41</v>
      </c>
      <c r="AA22" s="15" t="s">
        <v>41</v>
      </c>
      <c r="AB22" s="15" t="s">
        <v>41</v>
      </c>
      <c r="AC22" s="15" t="str">
        <f t="shared" si="4"/>
        <v>WO</v>
      </c>
      <c r="AD22" s="15" t="s">
        <v>41</v>
      </c>
      <c r="AE22" s="15" t="s">
        <v>41</v>
      </c>
      <c r="AF22" s="15" t="s">
        <v>41</v>
      </c>
      <c r="AG22" s="15" t="s">
        <v>41</v>
      </c>
      <c r="AH22" s="15" t="s">
        <v>41</v>
      </c>
      <c r="AI22" s="15" t="s">
        <v>41</v>
      </c>
      <c r="AJ22" s="15" t="str">
        <f t="shared" si="4"/>
        <v>WO</v>
      </c>
      <c r="AK22" s="15" t="s">
        <v>41</v>
      </c>
      <c r="AL22" s="15" t="s">
        <v>41</v>
      </c>
      <c r="AM22" s="16" t="s">
        <v>41</v>
      </c>
      <c r="AN22" s="41"/>
      <c r="AO22" s="41"/>
      <c r="AP22" s="30"/>
      <c r="AQ22" s="9">
        <v>16</v>
      </c>
      <c r="AR22" s="9" t="s">
        <v>18</v>
      </c>
      <c r="AS22" s="9" t="str">
        <f t="shared" si="5"/>
        <v>December</v>
      </c>
      <c r="AT22" s="10">
        <v>10016</v>
      </c>
      <c r="AU22" s="15">
        <f t="shared" si="6"/>
        <v>24</v>
      </c>
      <c r="AV22" s="15">
        <f t="shared" si="7"/>
        <v>3</v>
      </c>
      <c r="AW22" s="15">
        <f t="shared" si="8"/>
        <v>0</v>
      </c>
      <c r="AX22" s="15">
        <f t="shared" si="9"/>
        <v>4</v>
      </c>
      <c r="AY22" s="25">
        <f t="shared" si="10"/>
        <v>31</v>
      </c>
      <c r="AZ22" s="25">
        <f>JanReport24[[#This Row],[Days]]-JanReport24[[#This Row],[Abesent]]</f>
        <v>28</v>
      </c>
      <c r="BA22" s="26">
        <v>32000</v>
      </c>
      <c r="BB22" s="27">
        <f>JanReport24[[#This Row],[Salary]]/JanReport24[[#This Row],[Days]]</f>
        <v>1032.258064516129</v>
      </c>
      <c r="BC22" s="27">
        <f>JanReport24[[#This Row],[PerDaySalary]]*JanReport24[[#This Row],[Abesent]]</f>
        <v>3096.7741935483873</v>
      </c>
      <c r="BD22" s="27">
        <f>JanReport24[[#This Row],[Salary]]-JanReport24[[#This Row],[Deduction]]</f>
        <v>28903.225806451614</v>
      </c>
      <c r="BE22" s="15"/>
      <c r="BF22" s="30"/>
      <c r="BG22" s="28"/>
      <c r="BH22" s="28"/>
      <c r="BI22" s="28"/>
    </row>
    <row r="23" spans="1:61" x14ac:dyDescent="0.3">
      <c r="C23" s="28"/>
      <c r="D23" s="40"/>
      <c r="E23" s="8">
        <v>17</v>
      </c>
      <c r="F23" s="9" t="s">
        <v>19</v>
      </c>
      <c r="G23" s="9">
        <v>10017</v>
      </c>
      <c r="H23" s="9">
        <f t="shared" si="2"/>
        <v>4</v>
      </c>
      <c r="I23" s="15" t="s">
        <v>41</v>
      </c>
      <c r="J23" s="15" t="s">
        <v>41</v>
      </c>
      <c r="K23" s="15" t="s">
        <v>41</v>
      </c>
      <c r="L23" s="15" t="s">
        <v>41</v>
      </c>
      <c r="M23" s="15" t="s">
        <v>41</v>
      </c>
      <c r="N23" s="15" t="s">
        <v>41</v>
      </c>
      <c r="O23" s="15" t="str">
        <f t="shared" ref="O23:V26" si="11">IF(O$5="Sun","WO","")</f>
        <v>WO</v>
      </c>
      <c r="P23" s="15" t="s">
        <v>41</v>
      </c>
      <c r="Q23" s="15" t="s">
        <v>41</v>
      </c>
      <c r="R23" s="15" t="s">
        <v>41</v>
      </c>
      <c r="S23" s="15" t="s">
        <v>41</v>
      </c>
      <c r="T23" s="15" t="s">
        <v>41</v>
      </c>
      <c r="U23" s="15" t="s">
        <v>41</v>
      </c>
      <c r="V23" s="15" t="str">
        <f t="shared" si="11"/>
        <v>WO</v>
      </c>
      <c r="W23" s="15" t="s">
        <v>41</v>
      </c>
      <c r="X23" s="15" t="s">
        <v>41</v>
      </c>
      <c r="Y23" s="15" t="s">
        <v>42</v>
      </c>
      <c r="Z23" s="15" t="s">
        <v>41</v>
      </c>
      <c r="AA23" s="15" t="s">
        <v>41</v>
      </c>
      <c r="AB23" s="15" t="s">
        <v>41</v>
      </c>
      <c r="AC23" s="15" t="str">
        <f t="shared" ref="AC23:AJ26" si="12">IF(AC$5="Sun","WO","")</f>
        <v>WO</v>
      </c>
      <c r="AD23" s="15" t="s">
        <v>41</v>
      </c>
      <c r="AE23" s="15" t="s">
        <v>41</v>
      </c>
      <c r="AF23" s="15" t="s">
        <v>41</v>
      </c>
      <c r="AG23" s="15" t="s">
        <v>41</v>
      </c>
      <c r="AH23" s="15" t="s">
        <v>41</v>
      </c>
      <c r="AI23" s="15" t="s">
        <v>41</v>
      </c>
      <c r="AJ23" s="15" t="str">
        <f t="shared" si="12"/>
        <v>WO</v>
      </c>
      <c r="AK23" s="15" t="s">
        <v>41</v>
      </c>
      <c r="AL23" s="15" t="s">
        <v>41</v>
      </c>
      <c r="AM23" s="16" t="s">
        <v>41</v>
      </c>
      <c r="AN23" s="41"/>
      <c r="AO23" s="41"/>
      <c r="AP23" s="30"/>
      <c r="AQ23" s="9">
        <v>17</v>
      </c>
      <c r="AR23" s="9" t="s">
        <v>19</v>
      </c>
      <c r="AS23" s="9" t="str">
        <f t="shared" si="5"/>
        <v>December</v>
      </c>
      <c r="AT23" s="10">
        <v>10017</v>
      </c>
      <c r="AU23" s="15">
        <f t="shared" si="6"/>
        <v>26</v>
      </c>
      <c r="AV23" s="15">
        <f t="shared" si="7"/>
        <v>1</v>
      </c>
      <c r="AW23" s="15">
        <f t="shared" si="8"/>
        <v>0</v>
      </c>
      <c r="AX23" s="15">
        <f t="shared" si="9"/>
        <v>4</v>
      </c>
      <c r="AY23" s="25">
        <f t="shared" si="10"/>
        <v>31</v>
      </c>
      <c r="AZ23" s="25">
        <f>JanReport24[[#This Row],[Days]]-JanReport24[[#This Row],[Abesent]]</f>
        <v>30</v>
      </c>
      <c r="BA23" s="26">
        <v>35000</v>
      </c>
      <c r="BB23" s="27">
        <f>JanReport24[[#This Row],[Salary]]/JanReport24[[#This Row],[Days]]</f>
        <v>1129.0322580645161</v>
      </c>
      <c r="BC23" s="27">
        <f>JanReport24[[#This Row],[PerDaySalary]]*JanReport24[[#This Row],[Abesent]]</f>
        <v>1129.0322580645161</v>
      </c>
      <c r="BD23" s="27">
        <f>JanReport24[[#This Row],[Salary]]-JanReport24[[#This Row],[Deduction]]</f>
        <v>33870.967741935485</v>
      </c>
      <c r="BE23" s="15"/>
      <c r="BF23" s="30"/>
      <c r="BG23" s="28"/>
      <c r="BH23" s="28"/>
      <c r="BI23" s="28"/>
    </row>
    <row r="24" spans="1:61" x14ac:dyDescent="0.3">
      <c r="C24" s="28"/>
      <c r="D24" s="40"/>
      <c r="E24" s="8">
        <v>18</v>
      </c>
      <c r="F24" s="9" t="s">
        <v>20</v>
      </c>
      <c r="G24" s="9">
        <v>10018</v>
      </c>
      <c r="H24" s="9">
        <f t="shared" si="2"/>
        <v>4</v>
      </c>
      <c r="I24" s="15" t="s">
        <v>41</v>
      </c>
      <c r="J24" s="15" t="s">
        <v>41</v>
      </c>
      <c r="K24" s="15" t="s">
        <v>41</v>
      </c>
      <c r="L24" s="15" t="s">
        <v>41</v>
      </c>
      <c r="M24" s="15" t="s">
        <v>41</v>
      </c>
      <c r="N24" s="15" t="s">
        <v>41</v>
      </c>
      <c r="O24" s="15" t="str">
        <f t="shared" si="11"/>
        <v>WO</v>
      </c>
      <c r="P24" s="15" t="s">
        <v>41</v>
      </c>
      <c r="Q24" s="15" t="s">
        <v>41</v>
      </c>
      <c r="R24" s="15" t="s">
        <v>41</v>
      </c>
      <c r="S24" s="15" t="s">
        <v>41</v>
      </c>
      <c r="T24" s="15" t="s">
        <v>41</v>
      </c>
      <c r="U24" s="15" t="s">
        <v>41</v>
      </c>
      <c r="V24" s="15" t="str">
        <f t="shared" si="11"/>
        <v>WO</v>
      </c>
      <c r="W24" s="15" t="s">
        <v>41</v>
      </c>
      <c r="X24" s="15" t="s">
        <v>41</v>
      </c>
      <c r="Y24" s="15" t="s">
        <v>41</v>
      </c>
      <c r="Z24" s="15" t="s">
        <v>41</v>
      </c>
      <c r="AA24" s="15" t="s">
        <v>43</v>
      </c>
      <c r="AB24" s="15" t="s">
        <v>41</v>
      </c>
      <c r="AC24" s="15" t="str">
        <f t="shared" si="12"/>
        <v>WO</v>
      </c>
      <c r="AD24" s="15" t="s">
        <v>41</v>
      </c>
      <c r="AE24" s="15" t="s">
        <v>41</v>
      </c>
      <c r="AF24" s="15" t="s">
        <v>41</v>
      </c>
      <c r="AG24" s="15" t="s">
        <v>41</v>
      </c>
      <c r="AH24" s="15" t="s">
        <v>41</v>
      </c>
      <c r="AI24" s="15" t="s">
        <v>41</v>
      </c>
      <c r="AJ24" s="15" t="str">
        <f t="shared" si="12"/>
        <v>WO</v>
      </c>
      <c r="AK24" s="15" t="s">
        <v>41</v>
      </c>
      <c r="AL24" s="15" t="s">
        <v>41</v>
      </c>
      <c r="AM24" s="16" t="s">
        <v>41</v>
      </c>
      <c r="AN24" s="41"/>
      <c r="AO24" s="41"/>
      <c r="AP24" s="30"/>
      <c r="AQ24" s="9">
        <v>18</v>
      </c>
      <c r="AR24" s="9" t="s">
        <v>20</v>
      </c>
      <c r="AS24" s="9" t="str">
        <f t="shared" si="5"/>
        <v>December</v>
      </c>
      <c r="AT24" s="10">
        <v>10018</v>
      </c>
      <c r="AU24" s="15">
        <f t="shared" si="6"/>
        <v>26</v>
      </c>
      <c r="AV24" s="15">
        <f t="shared" si="7"/>
        <v>0</v>
      </c>
      <c r="AW24" s="15">
        <f t="shared" si="8"/>
        <v>1</v>
      </c>
      <c r="AX24" s="15">
        <f t="shared" si="9"/>
        <v>4</v>
      </c>
      <c r="AY24" s="25">
        <f t="shared" si="10"/>
        <v>31</v>
      </c>
      <c r="AZ24" s="25">
        <f>JanReport24[[#This Row],[Days]]-JanReport24[[#This Row],[Abesent]]</f>
        <v>31</v>
      </c>
      <c r="BA24" s="26">
        <v>28000</v>
      </c>
      <c r="BB24" s="27">
        <f>JanReport24[[#This Row],[Salary]]/JanReport24[[#This Row],[Days]]</f>
        <v>903.22580645161293</v>
      </c>
      <c r="BC24" s="27">
        <f>JanReport24[[#This Row],[PerDaySalary]]*JanReport24[[#This Row],[Abesent]]</f>
        <v>0</v>
      </c>
      <c r="BD24" s="27">
        <f>JanReport24[[#This Row],[Salary]]-JanReport24[[#This Row],[Deduction]]</f>
        <v>28000</v>
      </c>
      <c r="BE24" s="15"/>
      <c r="BF24" s="30"/>
      <c r="BG24" s="28"/>
      <c r="BH24" s="28"/>
      <c r="BI24" s="28"/>
    </row>
    <row r="25" spans="1:61" x14ac:dyDescent="0.3">
      <c r="C25" s="28"/>
      <c r="D25" s="40"/>
      <c r="E25" s="8">
        <v>19</v>
      </c>
      <c r="F25" s="9" t="s">
        <v>21</v>
      </c>
      <c r="G25" s="9">
        <v>10019</v>
      </c>
      <c r="H25" s="9">
        <f t="shared" si="2"/>
        <v>4</v>
      </c>
      <c r="I25" s="15" t="s">
        <v>41</v>
      </c>
      <c r="J25" s="15" t="s">
        <v>41</v>
      </c>
      <c r="K25" s="15" t="s">
        <v>41</v>
      </c>
      <c r="L25" s="15" t="s">
        <v>41</v>
      </c>
      <c r="M25" s="15" t="s">
        <v>41</v>
      </c>
      <c r="N25" s="15" t="s">
        <v>41</v>
      </c>
      <c r="O25" s="15" t="str">
        <f t="shared" si="11"/>
        <v>WO</v>
      </c>
      <c r="P25" s="15" t="s">
        <v>41</v>
      </c>
      <c r="Q25" s="15" t="s">
        <v>41</v>
      </c>
      <c r="R25" s="15" t="s">
        <v>41</v>
      </c>
      <c r="S25" s="15" t="s">
        <v>41</v>
      </c>
      <c r="T25" s="15" t="s">
        <v>41</v>
      </c>
      <c r="U25" s="15" t="s">
        <v>41</v>
      </c>
      <c r="V25" s="15" t="str">
        <f t="shared" si="11"/>
        <v>WO</v>
      </c>
      <c r="W25" s="15" t="s">
        <v>41</v>
      </c>
      <c r="X25" s="15" t="s">
        <v>41</v>
      </c>
      <c r="Y25" s="15" t="s">
        <v>41</v>
      </c>
      <c r="Z25" s="15" t="s">
        <v>41</v>
      </c>
      <c r="AA25" s="15" t="s">
        <v>41</v>
      </c>
      <c r="AB25" s="15" t="s">
        <v>41</v>
      </c>
      <c r="AC25" s="15" t="str">
        <f t="shared" si="12"/>
        <v>WO</v>
      </c>
      <c r="AD25" s="15" t="s">
        <v>41</v>
      </c>
      <c r="AE25" s="15" t="s">
        <v>41</v>
      </c>
      <c r="AF25" s="15" t="s">
        <v>41</v>
      </c>
      <c r="AG25" s="15" t="s">
        <v>41</v>
      </c>
      <c r="AH25" s="15" t="s">
        <v>41</v>
      </c>
      <c r="AI25" s="15" t="s">
        <v>41</v>
      </c>
      <c r="AJ25" s="15" t="str">
        <f t="shared" si="12"/>
        <v>WO</v>
      </c>
      <c r="AK25" s="15" t="s">
        <v>41</v>
      </c>
      <c r="AL25" s="15" t="s">
        <v>41</v>
      </c>
      <c r="AM25" s="16" t="s">
        <v>41</v>
      </c>
      <c r="AN25" s="41"/>
      <c r="AO25" s="41"/>
      <c r="AP25" s="30"/>
      <c r="AQ25" s="9">
        <v>19</v>
      </c>
      <c r="AR25" s="9" t="s">
        <v>21</v>
      </c>
      <c r="AS25" s="9" t="str">
        <f t="shared" si="5"/>
        <v>December</v>
      </c>
      <c r="AT25" s="10">
        <v>10019</v>
      </c>
      <c r="AU25" s="15">
        <f t="shared" si="6"/>
        <v>27</v>
      </c>
      <c r="AV25" s="15">
        <f t="shared" si="7"/>
        <v>0</v>
      </c>
      <c r="AW25" s="15">
        <f t="shared" si="8"/>
        <v>0</v>
      </c>
      <c r="AX25" s="15">
        <f t="shared" si="9"/>
        <v>4</v>
      </c>
      <c r="AY25" s="25">
        <f t="shared" si="10"/>
        <v>31</v>
      </c>
      <c r="AZ25" s="25">
        <f>JanReport24[[#This Row],[Days]]-JanReport24[[#This Row],[Abesent]]</f>
        <v>31</v>
      </c>
      <c r="BA25" s="26">
        <v>19000</v>
      </c>
      <c r="BB25" s="27">
        <f>JanReport24[[#This Row],[Salary]]/JanReport24[[#This Row],[Days]]</f>
        <v>612.90322580645159</v>
      </c>
      <c r="BC25" s="27">
        <f>JanReport24[[#This Row],[PerDaySalary]]*JanReport24[[#This Row],[Abesent]]</f>
        <v>0</v>
      </c>
      <c r="BD25" s="27">
        <f>JanReport24[[#This Row],[Salary]]-JanReport24[[#This Row],[Deduction]]</f>
        <v>19000</v>
      </c>
      <c r="BE25" s="15"/>
      <c r="BF25" s="30"/>
      <c r="BG25" s="28"/>
      <c r="BH25" s="28"/>
      <c r="BI25" s="28"/>
    </row>
    <row r="26" spans="1:61" ht="15" thickBot="1" x14ac:dyDescent="0.35">
      <c r="C26" s="28"/>
      <c r="D26" s="40"/>
      <c r="E26" s="11">
        <v>20</v>
      </c>
      <c r="F26" s="12" t="s">
        <v>22</v>
      </c>
      <c r="G26" s="12">
        <v>10020</v>
      </c>
      <c r="H26" s="12">
        <f t="shared" si="2"/>
        <v>4</v>
      </c>
      <c r="I26" s="17" t="s">
        <v>41</v>
      </c>
      <c r="J26" s="17" t="s">
        <v>41</v>
      </c>
      <c r="K26" s="17" t="s">
        <v>41</v>
      </c>
      <c r="L26" s="17" t="s">
        <v>41</v>
      </c>
      <c r="M26" s="17" t="s">
        <v>41</v>
      </c>
      <c r="N26" s="17" t="s">
        <v>41</v>
      </c>
      <c r="O26" s="17" t="str">
        <f t="shared" si="11"/>
        <v>WO</v>
      </c>
      <c r="P26" s="17" t="s">
        <v>41</v>
      </c>
      <c r="Q26" s="17" t="s">
        <v>41</v>
      </c>
      <c r="R26" s="17" t="s">
        <v>41</v>
      </c>
      <c r="S26" s="17" t="s">
        <v>41</v>
      </c>
      <c r="T26" s="17" t="s">
        <v>41</v>
      </c>
      <c r="U26" s="17" t="s">
        <v>41</v>
      </c>
      <c r="V26" s="17" t="str">
        <f t="shared" si="11"/>
        <v>WO</v>
      </c>
      <c r="W26" s="17" t="s">
        <v>41</v>
      </c>
      <c r="X26" s="17" t="s">
        <v>41</v>
      </c>
      <c r="Y26" s="17" t="s">
        <v>41</v>
      </c>
      <c r="Z26" s="17" t="s">
        <v>41</v>
      </c>
      <c r="AA26" s="17" t="s">
        <v>41</v>
      </c>
      <c r="AB26" s="17" t="s">
        <v>41</v>
      </c>
      <c r="AC26" s="17" t="str">
        <f t="shared" si="12"/>
        <v>WO</v>
      </c>
      <c r="AD26" s="17" t="s">
        <v>41</v>
      </c>
      <c r="AE26" s="17" t="s">
        <v>41</v>
      </c>
      <c r="AF26" s="17" t="s">
        <v>41</v>
      </c>
      <c r="AG26" s="17" t="s">
        <v>41</v>
      </c>
      <c r="AH26" s="17" t="s">
        <v>41</v>
      </c>
      <c r="AI26" s="17" t="s">
        <v>41</v>
      </c>
      <c r="AJ26" s="17" t="str">
        <f t="shared" si="12"/>
        <v>WO</v>
      </c>
      <c r="AK26" s="17" t="s">
        <v>41</v>
      </c>
      <c r="AL26" s="17" t="s">
        <v>41</v>
      </c>
      <c r="AM26" s="18" t="s">
        <v>41</v>
      </c>
      <c r="AN26" s="41"/>
      <c r="AO26" s="41"/>
      <c r="AP26" s="30"/>
      <c r="AQ26" s="9">
        <v>20</v>
      </c>
      <c r="AR26" s="9" t="s">
        <v>22</v>
      </c>
      <c r="AS26" s="9" t="str">
        <f t="shared" si="5"/>
        <v>December</v>
      </c>
      <c r="AT26" s="10">
        <v>10020</v>
      </c>
      <c r="AU26" s="15">
        <f t="shared" si="6"/>
        <v>27</v>
      </c>
      <c r="AV26" s="15">
        <f t="shared" si="7"/>
        <v>0</v>
      </c>
      <c r="AW26" s="15">
        <f t="shared" si="8"/>
        <v>0</v>
      </c>
      <c r="AX26" s="15">
        <f t="shared" si="9"/>
        <v>4</v>
      </c>
      <c r="AY26" s="25">
        <f t="shared" si="10"/>
        <v>31</v>
      </c>
      <c r="AZ26" s="25">
        <f>JanReport24[[#This Row],[Days]]-JanReport24[[#This Row],[Abesent]]</f>
        <v>31</v>
      </c>
      <c r="BA26" s="26">
        <v>20000</v>
      </c>
      <c r="BB26" s="27">
        <f>JanReport24[[#This Row],[Salary]]/JanReport24[[#This Row],[Days]]</f>
        <v>645.16129032258061</v>
      </c>
      <c r="BC26" s="27">
        <f>JanReport24[[#This Row],[PerDaySalary]]*JanReport24[[#This Row],[Abesent]]</f>
        <v>0</v>
      </c>
      <c r="BD26" s="27">
        <f>JanReport24[[#This Row],[Salary]]-JanReport24[[#This Row],[Deduction]]</f>
        <v>20000</v>
      </c>
      <c r="BE26" s="15"/>
      <c r="BF26" s="30"/>
      <c r="BG26" s="28"/>
      <c r="BH26" s="28"/>
      <c r="BI26" s="28"/>
    </row>
    <row r="27" spans="1:61" x14ac:dyDescent="0.3">
      <c r="A27" s="41"/>
      <c r="B27" s="41"/>
      <c r="C27" s="2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1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</row>
    <row r="28" spans="1:61" x14ac:dyDescent="0.3">
      <c r="A28" s="40"/>
      <c r="B28" s="40"/>
      <c r="C28" s="2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1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</row>
    <row r="29" spans="1:6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</row>
    <row r="30" spans="1:6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</row>
    <row r="31" spans="1:6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</row>
    <row r="32" spans="1:6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</row>
  </sheetData>
  <mergeCells count="3">
    <mergeCell ref="AQ1:BE2"/>
    <mergeCell ref="J4:M4"/>
    <mergeCell ref="E5:G5"/>
  </mergeCells>
  <conditionalFormatting sqref="I7:AM26">
    <cfRule type="containsText" dxfId="3" priority="1" operator="containsText" text="L">
      <formula>NOT(ISERROR(SEARCH("L",I7)))</formula>
    </cfRule>
    <cfRule type="containsText" dxfId="2" priority="2" operator="containsText" text="A">
      <formula>NOT(ISERROR(SEARCH("A",I7)))</formula>
    </cfRule>
    <cfRule type="containsText" dxfId="1" priority="3" operator="containsText" text="P">
      <formula>NOT(ISERROR(SEARCH("P",I7)))</formula>
    </cfRule>
    <cfRule type="containsText" dxfId="0" priority="4" operator="containsText" text="WO">
      <formula>NOT(ISERROR(SEARCH("WO",I7)))</formula>
    </cfRule>
  </conditionalFormatting>
  <dataValidations count="1">
    <dataValidation type="list" allowBlank="1" showInputMessage="1" showErrorMessage="1" sqref="W7:AB26 AD7:AI26 I7:N26 P7:U26 AK7:AM26" xr:uid="{E88E04EC-4293-472E-BC59-BB5A15ECF29C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FE5A0F-B671-411E-83AB-1409936B26F2}">
          <x14:formula1>
            <xm:f>Rought!$D$4:$D$15</xm:f>
          </x14:formula1>
          <xm:sqref>F4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3A213D7-1CDE-4D2B-B99E-942244736C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Dec!AU7:AW7</xm:f>
              <xm:sqref>BE7</xm:sqref>
            </x14:sparkline>
            <x14:sparkline>
              <xm:f>Dec!AU8:AW8</xm:f>
              <xm:sqref>BE8</xm:sqref>
            </x14:sparkline>
            <x14:sparkline>
              <xm:f>Dec!AU9:AW9</xm:f>
              <xm:sqref>BE9</xm:sqref>
            </x14:sparkline>
            <x14:sparkline>
              <xm:f>Dec!AU10:AW10</xm:f>
              <xm:sqref>BE10</xm:sqref>
            </x14:sparkline>
            <x14:sparkline>
              <xm:f>Dec!AU11:AW11</xm:f>
              <xm:sqref>BE11</xm:sqref>
            </x14:sparkline>
            <x14:sparkline>
              <xm:f>Dec!AU12:AW12</xm:f>
              <xm:sqref>BE12</xm:sqref>
            </x14:sparkline>
            <x14:sparkline>
              <xm:f>Dec!AU13:AW13</xm:f>
              <xm:sqref>BE13</xm:sqref>
            </x14:sparkline>
            <x14:sparkline>
              <xm:f>Dec!AU14:AW14</xm:f>
              <xm:sqref>BE14</xm:sqref>
            </x14:sparkline>
            <x14:sparkline>
              <xm:f>Dec!AU15:AW15</xm:f>
              <xm:sqref>BE15</xm:sqref>
            </x14:sparkline>
            <x14:sparkline>
              <xm:f>Dec!AU16:AW16</xm:f>
              <xm:sqref>BE16</xm:sqref>
            </x14:sparkline>
            <x14:sparkline>
              <xm:f>Dec!AU17:AW17</xm:f>
              <xm:sqref>BE17</xm:sqref>
            </x14:sparkline>
            <x14:sparkline>
              <xm:f>Dec!AU18:AW18</xm:f>
              <xm:sqref>BE18</xm:sqref>
            </x14:sparkline>
            <x14:sparkline>
              <xm:f>Dec!AU19:AW19</xm:f>
              <xm:sqref>BE19</xm:sqref>
            </x14:sparkline>
            <x14:sparkline>
              <xm:f>Dec!AU20:AW20</xm:f>
              <xm:sqref>BE20</xm:sqref>
            </x14:sparkline>
            <x14:sparkline>
              <xm:f>Dec!AU21:AW21</xm:f>
              <xm:sqref>BE21</xm:sqref>
            </x14:sparkline>
            <x14:sparkline>
              <xm:f>Dec!AU22:AW22</xm:f>
              <xm:sqref>BE22</xm:sqref>
            </x14:sparkline>
            <x14:sparkline>
              <xm:f>Dec!AU23:AW23</xm:f>
              <xm:sqref>BE23</xm:sqref>
            </x14:sparkline>
            <x14:sparkline>
              <xm:f>Dec!AU24:AW24</xm:f>
              <xm:sqref>BE24</xm:sqref>
            </x14:sparkline>
            <x14:sparkline>
              <xm:f>Dec!AU25:AW25</xm:f>
              <xm:sqref>BE25</xm:sqref>
            </x14:sparkline>
            <x14:sparkline>
              <xm:f>Dec!AU26:AW26</xm:f>
              <xm:sqref>BE26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Rought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divyaninawe428@gmail.com</dc:creator>
  <cp:lastModifiedBy>divyaninawe428@gmail.com</cp:lastModifiedBy>
  <dcterms:created xsi:type="dcterms:W3CDTF">2025-11-10T04:12:31Z</dcterms:created>
  <dcterms:modified xsi:type="dcterms:W3CDTF">2025-11-15T07:15:24Z</dcterms:modified>
</cp:coreProperties>
</file>